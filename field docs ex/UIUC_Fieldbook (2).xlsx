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yergroup-my.sharepoint.com/personal/kevin_kosola_bayer_com/Documents/2024_Field_Season/Field_Data_2024/ILAJ_Minirhizotron_Trial/"/>
    </mc:Choice>
  </mc:AlternateContent>
  <xr:revisionPtr revIDLastSave="0" documentId="8_{AF7000D4-DB32-46DA-84F5-2354882AB482}" xr6:coauthVersionLast="47" xr6:coauthVersionMax="47" xr10:uidLastSave="{00000000-0000-0000-0000-000000000000}"/>
  <bookViews>
    <workbookView xWindow="-110" yWindow="-110" windowWidth="19420" windowHeight="10300" xr2:uid="{70715BBD-483A-422D-9687-FB6A66B2C599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9" i="1" l="1"/>
  <c r="C49" i="1"/>
  <c r="B49" i="1"/>
  <c r="E48" i="1"/>
  <c r="C48" i="1"/>
  <c r="B48" i="1"/>
  <c r="E47" i="1"/>
  <c r="C47" i="1"/>
  <c r="B47" i="1"/>
  <c r="E46" i="1"/>
  <c r="C46" i="1"/>
  <c r="B46" i="1"/>
  <c r="E45" i="1"/>
  <c r="C45" i="1"/>
  <c r="B45" i="1"/>
  <c r="E44" i="1"/>
  <c r="C44" i="1"/>
  <c r="B44" i="1"/>
  <c r="E43" i="1"/>
  <c r="C43" i="1"/>
  <c r="B43" i="1"/>
  <c r="E42" i="1"/>
  <c r="C42" i="1"/>
  <c r="B42" i="1"/>
  <c r="E41" i="1"/>
  <c r="C41" i="1"/>
  <c r="B41" i="1"/>
  <c r="E40" i="1"/>
  <c r="C40" i="1"/>
  <c r="B40" i="1"/>
  <c r="E39" i="1"/>
  <c r="C39" i="1"/>
  <c r="B39" i="1"/>
  <c r="E38" i="1"/>
  <c r="C38" i="1"/>
  <c r="B38" i="1"/>
  <c r="E37" i="1"/>
  <c r="C37" i="1"/>
  <c r="B37" i="1"/>
  <c r="E36" i="1"/>
  <c r="C36" i="1"/>
  <c r="B36" i="1"/>
  <c r="E35" i="1"/>
  <c r="C35" i="1"/>
  <c r="B35" i="1"/>
  <c r="E34" i="1"/>
  <c r="C34" i="1"/>
  <c r="B34" i="1"/>
  <c r="E33" i="1"/>
  <c r="C33" i="1"/>
  <c r="B33" i="1"/>
  <c r="E32" i="1"/>
  <c r="C32" i="1"/>
  <c r="B32" i="1"/>
  <c r="E31" i="1"/>
  <c r="C31" i="1"/>
  <c r="B31" i="1"/>
  <c r="E30" i="1"/>
  <c r="C30" i="1"/>
  <c r="B30" i="1"/>
  <c r="E29" i="1"/>
  <c r="C29" i="1"/>
  <c r="B29" i="1"/>
  <c r="E28" i="1"/>
  <c r="C28" i="1"/>
  <c r="B28" i="1"/>
  <c r="E27" i="1"/>
  <c r="C27" i="1"/>
  <c r="B27" i="1"/>
  <c r="E26" i="1"/>
  <c r="C26" i="1"/>
  <c r="B26" i="1"/>
  <c r="E25" i="1"/>
  <c r="C25" i="1"/>
  <c r="B25" i="1"/>
  <c r="E24" i="1"/>
  <c r="C24" i="1"/>
  <c r="B24" i="1"/>
  <c r="E23" i="1"/>
  <c r="C23" i="1"/>
  <c r="B23" i="1"/>
  <c r="E22" i="1"/>
  <c r="C22" i="1"/>
  <c r="B22" i="1"/>
  <c r="E21" i="1"/>
  <c r="C21" i="1"/>
  <c r="B21" i="1"/>
  <c r="E20" i="1"/>
  <c r="C20" i="1"/>
  <c r="B20" i="1"/>
  <c r="E19" i="1"/>
  <c r="C19" i="1"/>
  <c r="B19" i="1"/>
  <c r="E18" i="1"/>
  <c r="C18" i="1"/>
  <c r="B18" i="1"/>
  <c r="E17" i="1"/>
  <c r="C17" i="1"/>
  <c r="B17" i="1"/>
  <c r="E16" i="1"/>
  <c r="C16" i="1"/>
  <c r="B16" i="1"/>
  <c r="E15" i="1"/>
  <c r="C15" i="1"/>
  <c r="B15" i="1"/>
  <c r="E14" i="1"/>
  <c r="C14" i="1"/>
  <c r="B14" i="1"/>
  <c r="E13" i="1"/>
  <c r="C13" i="1"/>
  <c r="B13" i="1"/>
  <c r="E12" i="1"/>
  <c r="C12" i="1"/>
  <c r="B12" i="1"/>
  <c r="E11" i="1"/>
  <c r="C11" i="1"/>
  <c r="B11" i="1"/>
  <c r="E10" i="1"/>
  <c r="C10" i="1"/>
  <c r="B10" i="1"/>
  <c r="E9" i="1"/>
  <c r="C9" i="1"/>
  <c r="B9" i="1"/>
  <c r="E8" i="1"/>
  <c r="C8" i="1"/>
  <c r="B8" i="1"/>
  <c r="E7" i="1"/>
  <c r="C7" i="1"/>
  <c r="B7" i="1"/>
  <c r="E6" i="1"/>
  <c r="C6" i="1"/>
  <c r="B6" i="1"/>
  <c r="E5" i="1"/>
  <c r="C5" i="1"/>
  <c r="B5" i="1"/>
  <c r="E4" i="1"/>
  <c r="C4" i="1"/>
  <c r="B4" i="1"/>
  <c r="E3" i="1"/>
  <c r="C3" i="1"/>
  <c r="B3" i="1"/>
  <c r="E2" i="1"/>
  <c r="C2" i="1"/>
  <c r="B2" i="1"/>
</calcChain>
</file>

<file path=xl/sharedStrings.xml><?xml version="1.0" encoding="utf-8"?>
<sst xmlns="http://schemas.openxmlformats.org/spreadsheetml/2006/main" count="5" uniqueCount="5">
  <si>
    <t>Barcode</t>
  </si>
  <si>
    <t>AbsR</t>
  </si>
  <si>
    <t>AbsC</t>
  </si>
  <si>
    <t>Hybrid_Code</t>
  </si>
  <si>
    <t>Stature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</si>
</sst>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ayergroup-my.sharepoint.com/personal/kevin_kosola_bayer_com/Documents/2024_Field_Season/Field_Data_2024/ILAJ_Minirhizotron_Trial/Argenta_2024_R1_Biomass_with_Full_partioning_DryWts.xlsx" TargetMode="External"/><Relationship Id="rId1" Type="http://schemas.openxmlformats.org/officeDocument/2006/relationships/externalLinkPath" Target="Argenta_2024_R1_Biomass_with_Full_partioning_DryW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1_Biomass_Full_Partition"/>
      <sheetName val="Dry_Wts_Assoc"/>
      <sheetName val="Dry_Wts_Assoc_Coded"/>
      <sheetName val="Dry_Wts_Assoc_Shareable"/>
      <sheetName val="Anemometer_install"/>
      <sheetName val="Biomass-stick-on label"/>
      <sheetName val="Dry_Wts"/>
      <sheetName val="Sheet3"/>
      <sheetName val="Fieldbook"/>
      <sheetName val="Soil-PlasticTa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A2">
            <v>18585033</v>
          </cell>
          <cell r="B2" t="str">
            <v>White Heath, IL</v>
          </cell>
          <cell r="C2" t="str">
            <v>ILAJ.02</v>
          </cell>
          <cell r="D2" t="str">
            <v>ILAJ.02</v>
          </cell>
          <cell r="E2" t="str">
            <v>WHAJ.RC.UI</v>
          </cell>
          <cell r="F2">
            <v>22488</v>
          </cell>
          <cell r="G2">
            <v>455813</v>
          </cell>
          <cell r="H2" t="str">
            <v>RCO_SBY105-T L01</v>
          </cell>
          <cell r="I2" t="str">
            <v>Tall</v>
          </cell>
          <cell r="J2">
            <v>18585033</v>
          </cell>
          <cell r="K2">
            <v>1</v>
          </cell>
          <cell r="L2">
            <v>1</v>
          </cell>
          <cell r="M2">
            <v>5</v>
          </cell>
          <cell r="O2">
            <v>2</v>
          </cell>
          <cell r="P2">
            <v>3</v>
          </cell>
          <cell r="Q2">
            <v>9082957</v>
          </cell>
          <cell r="R2" t="str">
            <v>internal_seed</v>
          </cell>
          <cell r="S2" t="str">
            <v>experiment</v>
          </cell>
          <cell r="U2" t="str">
            <v>{"entityType":"setEntry","value":"18585033"}</v>
          </cell>
          <cell r="Y2" t="str">
            <v>22 04 27 2C IAWLMJ07_00004_00013_1_@_+</v>
          </cell>
          <cell r="Z2" t="str">
            <v>Stature &amp; Hybrid</v>
          </cell>
          <cell r="AA2" t="str">
            <v>Internal Seed</v>
          </cell>
          <cell r="AB2" t="str">
            <v>FODC1524-TVX-A+HILV1608</v>
          </cell>
          <cell r="AH2" t="str">
            <v>Stature &amp; Hybrid Tall</v>
          </cell>
          <cell r="AI2" t="str">
            <v>Internal Seed FODC1524-TVX-A+HILV1608</v>
          </cell>
          <cell r="AK2">
            <v>1530677115306770</v>
          </cell>
          <cell r="AL2">
            <v>18585033</v>
          </cell>
          <cell r="AM2">
            <v>1</v>
          </cell>
          <cell r="AN2">
            <v>2848995</v>
          </cell>
          <cell r="AU2" t="str">
            <v>pMON25496,pMON38850</v>
          </cell>
          <cell r="AV2">
            <v>2849001</v>
          </cell>
          <cell r="AW2">
            <v>110120718</v>
          </cell>
          <cell r="AY2" t="str">
            <v>pMON25496, pMON38850</v>
          </cell>
          <cell r="AZ2" t="str">
            <v>NK603, MON89034</v>
          </cell>
          <cell r="BA2">
            <v>9082957</v>
          </cell>
          <cell r="BB2" t="str">
            <v>I00879561579858698010000</v>
          </cell>
          <cell r="BC2">
            <v>562278</v>
          </cell>
          <cell r="BD2" t="str">
            <v>Other</v>
          </cell>
          <cell r="BE2" t="str">
            <v>FODC1524-TVX-A+HILV1608</v>
          </cell>
          <cell r="BF2" t="str">
            <v>FODC1524</v>
          </cell>
          <cell r="BG2" t="str">
            <v>HILV1608</v>
          </cell>
          <cell r="BH2" t="str">
            <v>FODC1524_HILV1608</v>
          </cell>
          <cell r="BI2">
            <v>2</v>
          </cell>
          <cell r="BJ2">
            <v>3</v>
          </cell>
        </row>
        <row r="3">
          <cell r="A3">
            <v>18585039</v>
          </cell>
          <cell r="B3" t="str">
            <v>White Heath, IL</v>
          </cell>
          <cell r="C3" t="str">
            <v>ILAJ.02</v>
          </cell>
          <cell r="D3" t="str">
            <v>ILAJ.02</v>
          </cell>
          <cell r="E3" t="str">
            <v>WHAJ.RC.UI</v>
          </cell>
          <cell r="F3">
            <v>22488</v>
          </cell>
          <cell r="G3">
            <v>455813</v>
          </cell>
          <cell r="H3" t="str">
            <v>RCO_SBY105-T L01</v>
          </cell>
          <cell r="I3" t="str">
            <v>Tall</v>
          </cell>
          <cell r="J3">
            <v>18585039</v>
          </cell>
          <cell r="K3">
            <v>7</v>
          </cell>
          <cell r="L3">
            <v>1</v>
          </cell>
          <cell r="M3">
            <v>6</v>
          </cell>
          <cell r="O3">
            <v>2</v>
          </cell>
          <cell r="P3">
            <v>4</v>
          </cell>
          <cell r="Q3">
            <v>10550899</v>
          </cell>
          <cell r="R3" t="str">
            <v>internal_seed</v>
          </cell>
          <cell r="S3" t="str">
            <v>experiment</v>
          </cell>
          <cell r="T3" t="str">
            <v>DRPPT:2:NUMBER, PACK_ENT:2:PACK_PER_PLOT, SDPCGMT:Cassette Flexfill:TEXT, SEEDS_PACK:190:SEEDS_PER_PACK</v>
          </cell>
          <cell r="U3" t="str">
            <v>{"entityType":"setEntry","value":"18585039"}</v>
          </cell>
          <cell r="Y3" t="str">
            <v>22 10 84 40 HIKI22MK41A3-18DN4_00036_00070_1_@_+</v>
          </cell>
          <cell r="Z3" t="str">
            <v>Stature &amp; Hybrid</v>
          </cell>
          <cell r="AA3" t="str">
            <v>Internal Seed</v>
          </cell>
          <cell r="AB3" t="str">
            <v>01DKD2+JULV1678</v>
          </cell>
          <cell r="AH3" t="str">
            <v>Stature &amp; Hybrid Tall</v>
          </cell>
          <cell r="AI3" t="str">
            <v>Internal Seed HAQE1642-TVX-B+GALV1542</v>
          </cell>
          <cell r="AK3">
            <v>1530678615306780</v>
          </cell>
          <cell r="AL3">
            <v>18585039</v>
          </cell>
          <cell r="AM3">
            <v>2</v>
          </cell>
          <cell r="AN3">
            <v>2848995</v>
          </cell>
          <cell r="AU3" t="str">
            <v>pMON38850,pMON25496</v>
          </cell>
          <cell r="AV3">
            <v>2849002</v>
          </cell>
          <cell r="AW3">
            <v>110120719</v>
          </cell>
          <cell r="BA3">
            <v>10550899</v>
          </cell>
          <cell r="BC3">
            <v>656778</v>
          </cell>
          <cell r="BD3" t="str">
            <v>Other</v>
          </cell>
          <cell r="BE3" t="str">
            <v>01DKD2+JULV1678</v>
          </cell>
          <cell r="BF3" t="str">
            <v>01DKD2</v>
          </cell>
          <cell r="BG3" t="str">
            <v>JULV1678</v>
          </cell>
          <cell r="BH3" t="str">
            <v>01DKD2_JULV1678</v>
          </cell>
          <cell r="BI3">
            <v>2</v>
          </cell>
          <cell r="BJ3">
            <v>4</v>
          </cell>
        </row>
        <row r="4">
          <cell r="A4">
            <v>18585034</v>
          </cell>
          <cell r="B4" t="str">
            <v>White Heath, IL</v>
          </cell>
          <cell r="C4" t="str">
            <v>ILAJ.02</v>
          </cell>
          <cell r="D4" t="str">
            <v>ILAJ.02</v>
          </cell>
          <cell r="E4" t="str">
            <v>WHAJ.RC.UI</v>
          </cell>
          <cell r="F4">
            <v>22488</v>
          </cell>
          <cell r="G4">
            <v>455813</v>
          </cell>
          <cell r="H4" t="str">
            <v>RCO_SBY105-T L01</v>
          </cell>
          <cell r="I4" t="str">
            <v>Tall</v>
          </cell>
          <cell r="J4">
            <v>18585034</v>
          </cell>
          <cell r="K4">
            <v>2</v>
          </cell>
          <cell r="L4">
            <v>2</v>
          </cell>
          <cell r="M4">
            <v>5</v>
          </cell>
          <cell r="O4">
            <v>2</v>
          </cell>
          <cell r="P4">
            <v>5</v>
          </cell>
          <cell r="Q4">
            <v>9082957</v>
          </cell>
          <cell r="R4" t="str">
            <v>internal_seed</v>
          </cell>
          <cell r="S4" t="str">
            <v>experiment</v>
          </cell>
          <cell r="U4" t="str">
            <v>{"entityType":"setEntry","value":"18585034"}</v>
          </cell>
          <cell r="Y4" t="str">
            <v>22 04 27 2C IAWLMJ07_00004_00013_1_@_+</v>
          </cell>
          <cell r="Z4" t="str">
            <v>Stature &amp; Hybrid</v>
          </cell>
          <cell r="AA4" t="str">
            <v>Internal Seed</v>
          </cell>
          <cell r="AB4" t="str">
            <v>FODC1524-TVX-A+HILV1608</v>
          </cell>
          <cell r="AH4" t="str">
            <v>Stature &amp; Hybrid Tall</v>
          </cell>
          <cell r="AI4" t="str">
            <v>Internal Seed FODC1524-TVX-A+HILV1608</v>
          </cell>
          <cell r="AK4">
            <v>1530677615306770</v>
          </cell>
          <cell r="AL4">
            <v>18585034</v>
          </cell>
          <cell r="AM4">
            <v>3</v>
          </cell>
          <cell r="AN4">
            <v>2848995</v>
          </cell>
          <cell r="AU4" t="str">
            <v>pMON25496,pMON38850</v>
          </cell>
          <cell r="AV4">
            <v>2849001</v>
          </cell>
          <cell r="AW4">
            <v>110120720</v>
          </cell>
          <cell r="AY4" t="str">
            <v>pMON25496, pMON38850</v>
          </cell>
          <cell r="AZ4" t="str">
            <v>NK603, MON89034</v>
          </cell>
          <cell r="BA4">
            <v>9082957</v>
          </cell>
          <cell r="BB4" t="str">
            <v>I00879561579858698010000</v>
          </cell>
          <cell r="BC4">
            <v>562278</v>
          </cell>
          <cell r="BD4" t="str">
            <v>Other</v>
          </cell>
          <cell r="BE4" t="str">
            <v>FODC1524-TVX-A+HILV1608</v>
          </cell>
          <cell r="BF4" t="str">
            <v>FODC1524</v>
          </cell>
          <cell r="BG4" t="str">
            <v>HILV1608</v>
          </cell>
          <cell r="BH4" t="str">
            <v>FODC1524_HILV1608</v>
          </cell>
          <cell r="BI4">
            <v>2</v>
          </cell>
          <cell r="BJ4">
            <v>5</v>
          </cell>
        </row>
        <row r="5">
          <cell r="A5">
            <v>18585040</v>
          </cell>
          <cell r="B5" t="str">
            <v>White Heath, IL</v>
          </cell>
          <cell r="C5" t="str">
            <v>ILAJ.02</v>
          </cell>
          <cell r="D5" t="str">
            <v>ILAJ.02</v>
          </cell>
          <cell r="E5" t="str">
            <v>WHAJ.RC.UI</v>
          </cell>
          <cell r="F5">
            <v>22488</v>
          </cell>
          <cell r="G5">
            <v>455813</v>
          </cell>
          <cell r="H5" t="str">
            <v>RCO_SBY105-T L01</v>
          </cell>
          <cell r="I5" t="str">
            <v>Tall</v>
          </cell>
          <cell r="J5">
            <v>18585040</v>
          </cell>
          <cell r="K5">
            <v>8</v>
          </cell>
          <cell r="L5">
            <v>2</v>
          </cell>
          <cell r="M5">
            <v>6</v>
          </cell>
          <cell r="O5">
            <v>2</v>
          </cell>
          <cell r="P5">
            <v>6</v>
          </cell>
          <cell r="Q5">
            <v>10550899</v>
          </cell>
          <cell r="R5" t="str">
            <v>internal_seed</v>
          </cell>
          <cell r="S5" t="str">
            <v>experiment</v>
          </cell>
          <cell r="U5" t="str">
            <v>{"entityType":"setEntry","value":"18585040"}</v>
          </cell>
          <cell r="Y5" t="str">
            <v>22 10 84 40 HIKI22MK41A3-18DN4_00036_00070_1_@_+</v>
          </cell>
          <cell r="Z5" t="str">
            <v>Stature &amp; Hybrid</v>
          </cell>
          <cell r="AA5" t="str">
            <v>Internal Seed</v>
          </cell>
          <cell r="AB5" t="str">
            <v>01DKD2+JULV1678</v>
          </cell>
          <cell r="AH5" t="str">
            <v>Stature &amp; Hybrid Tall</v>
          </cell>
          <cell r="AI5" t="str">
            <v>Internal Seed HAQE1642-TVX-B+GALV1542</v>
          </cell>
          <cell r="AK5">
            <v>1530679015306780</v>
          </cell>
          <cell r="AL5">
            <v>18585040</v>
          </cell>
          <cell r="AM5">
            <v>4</v>
          </cell>
          <cell r="AN5">
            <v>2848995</v>
          </cell>
          <cell r="AU5" t="str">
            <v>pMON38850,pMON25496</v>
          </cell>
          <cell r="AV5">
            <v>2849002</v>
          </cell>
          <cell r="AW5">
            <v>110120721</v>
          </cell>
          <cell r="BA5">
            <v>10550899</v>
          </cell>
          <cell r="BC5">
            <v>656778</v>
          </cell>
          <cell r="BD5" t="str">
            <v>Other</v>
          </cell>
          <cell r="BE5" t="str">
            <v>01DKD2+JULV1678</v>
          </cell>
          <cell r="BF5" t="str">
            <v>01DKD2</v>
          </cell>
          <cell r="BG5" t="str">
            <v>JULV1678</v>
          </cell>
          <cell r="BH5" t="str">
            <v>01DKD2_JULV1678</v>
          </cell>
          <cell r="BI5">
            <v>2</v>
          </cell>
          <cell r="BJ5">
            <v>6</v>
          </cell>
        </row>
        <row r="6">
          <cell r="A6">
            <v>18585035</v>
          </cell>
          <cell r="B6" t="str">
            <v>White Heath, IL</v>
          </cell>
          <cell r="C6" t="str">
            <v>ILAJ.02</v>
          </cell>
          <cell r="D6" t="str">
            <v>ILAJ.02</v>
          </cell>
          <cell r="E6" t="str">
            <v>WHAJ.RC.UI</v>
          </cell>
          <cell r="F6">
            <v>22488</v>
          </cell>
          <cell r="G6">
            <v>455813</v>
          </cell>
          <cell r="H6" t="str">
            <v>RCO_SBY105-T L01</v>
          </cell>
          <cell r="I6" t="str">
            <v>Tall</v>
          </cell>
          <cell r="J6">
            <v>18585035</v>
          </cell>
          <cell r="K6">
            <v>3</v>
          </cell>
          <cell r="L6">
            <v>3</v>
          </cell>
          <cell r="M6">
            <v>5</v>
          </cell>
          <cell r="O6">
            <v>2</v>
          </cell>
          <cell r="P6">
            <v>7</v>
          </cell>
          <cell r="Q6">
            <v>9082957</v>
          </cell>
          <cell r="R6" t="str">
            <v>internal_seed</v>
          </cell>
          <cell r="S6" t="str">
            <v>experiment</v>
          </cell>
          <cell r="U6" t="str">
            <v>{"entityType":"setEntry","value":"18585035"}</v>
          </cell>
          <cell r="Y6" t="str">
            <v>22 04 27 2C IAWLMJ07_00004_00013_1_@_+</v>
          </cell>
          <cell r="Z6" t="str">
            <v>Stature &amp; Hybrid</v>
          </cell>
          <cell r="AA6" t="str">
            <v>Internal Seed</v>
          </cell>
          <cell r="AB6" t="str">
            <v>FODC1524-TVX-A+HILV1608</v>
          </cell>
          <cell r="AH6" t="str">
            <v>Stature &amp; Hybrid Tall</v>
          </cell>
          <cell r="AI6" t="str">
            <v>Internal Seed FODC1524-TVX-A+HILV1608</v>
          </cell>
          <cell r="AK6">
            <v>1530678015306770</v>
          </cell>
          <cell r="AL6">
            <v>18585035</v>
          </cell>
          <cell r="AM6">
            <v>5</v>
          </cell>
          <cell r="AN6">
            <v>2848995</v>
          </cell>
          <cell r="AU6" t="str">
            <v>pMON25496,pMON38850</v>
          </cell>
          <cell r="AV6">
            <v>2849001</v>
          </cell>
          <cell r="AW6">
            <v>110120722</v>
          </cell>
          <cell r="AY6" t="str">
            <v>pMON25496, pMON38850</v>
          </cell>
          <cell r="AZ6" t="str">
            <v>NK603, MON89034</v>
          </cell>
          <cell r="BA6">
            <v>9082957</v>
          </cell>
          <cell r="BB6" t="str">
            <v>I00879561579858698010000</v>
          </cell>
          <cell r="BC6">
            <v>562278</v>
          </cell>
          <cell r="BD6" t="str">
            <v>Other</v>
          </cell>
          <cell r="BE6" t="str">
            <v>FODC1524-TVX-A+HILV1608</v>
          </cell>
          <cell r="BF6" t="str">
            <v>FODC1524</v>
          </cell>
          <cell r="BG6" t="str">
            <v>HILV1608</v>
          </cell>
          <cell r="BH6" t="str">
            <v>FODC1524_HILV1608</v>
          </cell>
          <cell r="BI6">
            <v>2</v>
          </cell>
          <cell r="BJ6">
            <v>7</v>
          </cell>
        </row>
        <row r="7">
          <cell r="A7">
            <v>18585041</v>
          </cell>
          <cell r="B7" t="str">
            <v>White Heath, IL</v>
          </cell>
          <cell r="C7" t="str">
            <v>ILAJ.02</v>
          </cell>
          <cell r="D7" t="str">
            <v>ILAJ.02</v>
          </cell>
          <cell r="E7" t="str">
            <v>WHAJ.RC.UI</v>
          </cell>
          <cell r="F7">
            <v>22488</v>
          </cell>
          <cell r="G7">
            <v>455813</v>
          </cell>
          <cell r="H7" t="str">
            <v>RCO_SBY105-T L01</v>
          </cell>
          <cell r="I7" t="str">
            <v>Tall</v>
          </cell>
          <cell r="J7">
            <v>18585041</v>
          </cell>
          <cell r="K7">
            <v>9</v>
          </cell>
          <cell r="L7">
            <v>3</v>
          </cell>
          <cell r="M7">
            <v>6</v>
          </cell>
          <cell r="O7">
            <v>2</v>
          </cell>
          <cell r="P7">
            <v>8</v>
          </cell>
          <cell r="Q7">
            <v>10550899</v>
          </cell>
          <cell r="R7" t="str">
            <v>internal_seed</v>
          </cell>
          <cell r="S7" t="str">
            <v>experiment</v>
          </cell>
          <cell r="U7" t="str">
            <v>{"entityType":"setEntry","value":"18585041"}</v>
          </cell>
          <cell r="Y7" t="str">
            <v>22 10 84 40 HIKI22MK41A3-18DN4_00036_00070_1_@_+</v>
          </cell>
          <cell r="Z7" t="str">
            <v>Stature &amp; Hybrid</v>
          </cell>
          <cell r="AA7" t="str">
            <v>Internal Seed</v>
          </cell>
          <cell r="AB7" t="str">
            <v>01DKD2+JULV1678</v>
          </cell>
          <cell r="AH7" t="str">
            <v>Stature &amp; Hybrid Tall</v>
          </cell>
          <cell r="AI7" t="str">
            <v>Internal Seed HAQE1642-TVX-B+GALV1542</v>
          </cell>
          <cell r="AK7">
            <v>1530679415306790</v>
          </cell>
          <cell r="AL7">
            <v>18585041</v>
          </cell>
          <cell r="AM7">
            <v>6</v>
          </cell>
          <cell r="AN7">
            <v>2848995</v>
          </cell>
          <cell r="AU7" t="str">
            <v>pMON38850,pMON25496</v>
          </cell>
          <cell r="AV7">
            <v>2849002</v>
          </cell>
          <cell r="AW7">
            <v>110120723</v>
          </cell>
          <cell r="BA7">
            <v>10550899</v>
          </cell>
          <cell r="BC7">
            <v>656778</v>
          </cell>
          <cell r="BD7" t="str">
            <v>Other</v>
          </cell>
          <cell r="BE7" t="str">
            <v>01DKD2+JULV1678</v>
          </cell>
          <cell r="BF7" t="str">
            <v>01DKD2</v>
          </cell>
          <cell r="BG7" t="str">
            <v>JULV1678</v>
          </cell>
          <cell r="BH7" t="str">
            <v>01DKD2_JULV1678</v>
          </cell>
          <cell r="BI7">
            <v>2</v>
          </cell>
          <cell r="BJ7">
            <v>8</v>
          </cell>
        </row>
        <row r="8">
          <cell r="A8">
            <v>18584997</v>
          </cell>
          <cell r="B8" t="str">
            <v>White Heath, IL</v>
          </cell>
          <cell r="C8" t="str">
            <v>ILAJ.02</v>
          </cell>
          <cell r="D8" t="str">
            <v>ILAJ.02</v>
          </cell>
          <cell r="E8" t="str">
            <v>WHAJ.RC.UI</v>
          </cell>
          <cell r="F8">
            <v>22488</v>
          </cell>
          <cell r="G8">
            <v>455810</v>
          </cell>
          <cell r="H8" t="str">
            <v>RCO_SBY105-01DKD2-T L01</v>
          </cell>
          <cell r="I8" t="str">
            <v>Tall</v>
          </cell>
          <cell r="J8">
            <v>18584997</v>
          </cell>
          <cell r="K8">
            <v>1</v>
          </cell>
          <cell r="L8">
            <v>1</v>
          </cell>
          <cell r="M8">
            <v>7</v>
          </cell>
          <cell r="O8">
            <v>2</v>
          </cell>
          <cell r="P8">
            <v>11</v>
          </cell>
          <cell r="Q8">
            <v>10499354</v>
          </cell>
          <cell r="R8" t="str">
            <v>internal_seed</v>
          </cell>
          <cell r="S8" t="str">
            <v>experiment</v>
          </cell>
          <cell r="U8" t="str">
            <v>{"entityType":"setEntry","value":"18584997"}</v>
          </cell>
          <cell r="Y8" t="str">
            <v>22 10 84 40 HIKI22MK44A3-18DN4_00003_00056_1_@_+</v>
          </cell>
          <cell r="Z8" t="str">
            <v>Stature &amp; Hybrid</v>
          </cell>
          <cell r="AA8" t="str">
            <v>Internal Seed</v>
          </cell>
          <cell r="AB8" t="str">
            <v>01DKD2+80IDM2</v>
          </cell>
          <cell r="AH8" t="str">
            <v>Stature &amp; Hybrid Tall-01DKD2</v>
          </cell>
          <cell r="AI8" t="str">
            <v>Internal Seed 01DKD2+80IDM2</v>
          </cell>
          <cell r="AK8">
            <v>1530671015306710</v>
          </cell>
          <cell r="AL8">
            <v>18584997</v>
          </cell>
          <cell r="AM8">
            <v>1</v>
          </cell>
          <cell r="AN8">
            <v>2848996</v>
          </cell>
          <cell r="AV8">
            <v>2849003</v>
          </cell>
          <cell r="AW8">
            <v>110120730</v>
          </cell>
          <cell r="BA8">
            <v>10499354</v>
          </cell>
          <cell r="BC8">
            <v>670914</v>
          </cell>
          <cell r="BD8" t="str">
            <v>Other</v>
          </cell>
          <cell r="BE8" t="str">
            <v>01DKD2+80IDM2</v>
          </cell>
          <cell r="BF8" t="str">
            <v>01DKD2</v>
          </cell>
          <cell r="BG8" t="str">
            <v>80IDM2</v>
          </cell>
          <cell r="BH8" t="str">
            <v>01DKD2_80IDM2</v>
          </cell>
          <cell r="BI8">
            <v>2</v>
          </cell>
          <cell r="BJ8">
            <v>11</v>
          </cell>
        </row>
        <row r="9">
          <cell r="A9">
            <v>18585003</v>
          </cell>
          <cell r="B9" t="str">
            <v>White Heath, IL</v>
          </cell>
          <cell r="C9" t="str">
            <v>ILAJ.02</v>
          </cell>
          <cell r="D9" t="str">
            <v>ILAJ.02</v>
          </cell>
          <cell r="E9" t="str">
            <v>WHAJ.RC.UI</v>
          </cell>
          <cell r="F9">
            <v>22488</v>
          </cell>
          <cell r="G9">
            <v>455810</v>
          </cell>
          <cell r="H9" t="str">
            <v>RCO_SBY105-01DKD2-T L01</v>
          </cell>
          <cell r="I9" t="str">
            <v>Tall</v>
          </cell>
          <cell r="J9">
            <v>18585003</v>
          </cell>
          <cell r="K9">
            <v>7</v>
          </cell>
          <cell r="L9">
            <v>1</v>
          </cell>
          <cell r="M9">
            <v>8</v>
          </cell>
          <cell r="O9">
            <v>2</v>
          </cell>
          <cell r="P9">
            <v>12</v>
          </cell>
          <cell r="Q9">
            <v>10317493</v>
          </cell>
          <cell r="R9" t="str">
            <v>internal_seed</v>
          </cell>
          <cell r="S9" t="str">
            <v>experiment</v>
          </cell>
          <cell r="T9" t="str">
            <v>DRPPT:2:NUMBER, PACK_ENT:2:PACK_PER_PLOT, SDPCGMT:Cassette Flexfill:TEXT, SEEDS_PACK:190:SEEDS_PER_PACK</v>
          </cell>
          <cell r="U9" t="str">
            <v>{"entityType":"setEntry","value":"18585003"}</v>
          </cell>
          <cell r="Y9" t="str">
            <v>22 10 84 40 HIKI22MK44A3-18DN4_00006_00099_1_@_+</v>
          </cell>
          <cell r="Z9" t="str">
            <v>Stature &amp; Hybrid</v>
          </cell>
          <cell r="AA9" t="str">
            <v>Internal Seed</v>
          </cell>
          <cell r="AB9" t="str">
            <v>01DKD2+FOLV1561</v>
          </cell>
          <cell r="AH9" t="str">
            <v>Stature &amp; Hybrid Tall-01DKD2</v>
          </cell>
          <cell r="AI9" t="str">
            <v>Internal Seed 01DKD2+FOLV1561</v>
          </cell>
          <cell r="AK9">
            <v>1530657615306570</v>
          </cell>
          <cell r="AL9">
            <v>18585003</v>
          </cell>
          <cell r="AM9">
            <v>2</v>
          </cell>
          <cell r="AN9">
            <v>2848996</v>
          </cell>
          <cell r="AV9">
            <v>2849004</v>
          </cell>
          <cell r="AW9">
            <v>110120731</v>
          </cell>
          <cell r="BA9">
            <v>10317493</v>
          </cell>
          <cell r="BC9">
            <v>670926</v>
          </cell>
          <cell r="BD9" t="str">
            <v>Other</v>
          </cell>
          <cell r="BE9" t="str">
            <v>01DKD2+FOLV1561</v>
          </cell>
          <cell r="BF9" t="str">
            <v>01DKD2</v>
          </cell>
          <cell r="BG9" t="str">
            <v>FOLV1561</v>
          </cell>
          <cell r="BH9" t="str">
            <v>01DKD2_FOLV1561</v>
          </cell>
          <cell r="BI9">
            <v>2</v>
          </cell>
          <cell r="BJ9">
            <v>12</v>
          </cell>
        </row>
        <row r="10">
          <cell r="A10">
            <v>18584998</v>
          </cell>
          <cell r="B10" t="str">
            <v>White Heath, IL</v>
          </cell>
          <cell r="C10" t="str">
            <v>ILAJ.02</v>
          </cell>
          <cell r="D10" t="str">
            <v>ILAJ.02</v>
          </cell>
          <cell r="E10" t="str">
            <v>WHAJ.RC.UI</v>
          </cell>
          <cell r="F10">
            <v>22488</v>
          </cell>
          <cell r="G10">
            <v>455810</v>
          </cell>
          <cell r="H10" t="str">
            <v>RCO_SBY105-01DKD2-T L01</v>
          </cell>
          <cell r="I10" t="str">
            <v>Tall</v>
          </cell>
          <cell r="J10">
            <v>18584998</v>
          </cell>
          <cell r="K10">
            <v>2</v>
          </cell>
          <cell r="L10">
            <v>2</v>
          </cell>
          <cell r="M10">
            <v>7</v>
          </cell>
          <cell r="O10">
            <v>2</v>
          </cell>
          <cell r="P10">
            <v>13</v>
          </cell>
          <cell r="Q10">
            <v>10499354</v>
          </cell>
          <cell r="R10" t="str">
            <v>internal_seed</v>
          </cell>
          <cell r="S10" t="str">
            <v>experiment</v>
          </cell>
          <cell r="U10" t="str">
            <v>{"entityType":"setEntry","value":"18584998"}</v>
          </cell>
          <cell r="Y10" t="str">
            <v>22 10 84 40 HIKI22MK44A3-18DN4_00003_00056_1_@_+</v>
          </cell>
          <cell r="Z10" t="str">
            <v>Stature &amp; Hybrid</v>
          </cell>
          <cell r="AA10" t="str">
            <v>Internal Seed</v>
          </cell>
          <cell r="AB10" t="str">
            <v>01DKD2+80IDM2</v>
          </cell>
          <cell r="AH10" t="str">
            <v>Stature &amp; Hybrid Tall-01DKD2</v>
          </cell>
          <cell r="AI10" t="str">
            <v>Internal Seed 01DKD2+80IDM2</v>
          </cell>
          <cell r="AK10">
            <v>1530671415306710</v>
          </cell>
          <cell r="AL10">
            <v>18584998</v>
          </cell>
          <cell r="AM10">
            <v>3</v>
          </cell>
          <cell r="AN10">
            <v>2848996</v>
          </cell>
          <cell r="AV10">
            <v>2849003</v>
          </cell>
          <cell r="AW10">
            <v>110120732</v>
          </cell>
          <cell r="BA10">
            <v>10499354</v>
          </cell>
          <cell r="BC10">
            <v>670914</v>
          </cell>
          <cell r="BD10" t="str">
            <v>Other</v>
          </cell>
          <cell r="BE10" t="str">
            <v>01DKD2+80IDM2</v>
          </cell>
          <cell r="BF10" t="str">
            <v>01DKD2</v>
          </cell>
          <cell r="BG10" t="str">
            <v>80IDM2</v>
          </cell>
          <cell r="BH10" t="str">
            <v>01DKD2_80IDM2</v>
          </cell>
          <cell r="BI10">
            <v>2</v>
          </cell>
          <cell r="BJ10">
            <v>13</v>
          </cell>
        </row>
        <row r="11">
          <cell r="A11">
            <v>18585004</v>
          </cell>
          <cell r="B11" t="str">
            <v>White Heath, IL</v>
          </cell>
          <cell r="C11" t="str">
            <v>ILAJ.02</v>
          </cell>
          <cell r="D11" t="str">
            <v>ILAJ.02</v>
          </cell>
          <cell r="E11" t="str">
            <v>WHAJ.RC.UI</v>
          </cell>
          <cell r="F11">
            <v>22488</v>
          </cell>
          <cell r="G11">
            <v>455810</v>
          </cell>
          <cell r="H11" t="str">
            <v>RCO_SBY105-01DKD2-T L01</v>
          </cell>
          <cell r="I11" t="str">
            <v>Tall</v>
          </cell>
          <cell r="J11">
            <v>18585004</v>
          </cell>
          <cell r="K11">
            <v>8</v>
          </cell>
          <cell r="L11">
            <v>2</v>
          </cell>
          <cell r="M11">
            <v>8</v>
          </cell>
          <cell r="O11">
            <v>2</v>
          </cell>
          <cell r="P11">
            <v>14</v>
          </cell>
          <cell r="Q11">
            <v>10317493</v>
          </cell>
          <cell r="R11" t="str">
            <v>internal_seed</v>
          </cell>
          <cell r="S11" t="str">
            <v>experiment</v>
          </cell>
          <cell r="U11" t="str">
            <v>{"entityType":"setEntry","value":"18585004"}</v>
          </cell>
          <cell r="Y11" t="str">
            <v>22 10 84 40 HIKI22MK44A3-18DN4_00006_00099_1_@_+</v>
          </cell>
          <cell r="Z11" t="str">
            <v>Stature &amp; Hybrid</v>
          </cell>
          <cell r="AA11" t="str">
            <v>Internal Seed</v>
          </cell>
          <cell r="AB11" t="str">
            <v>01DKD2+FOLV1561</v>
          </cell>
          <cell r="AH11" t="str">
            <v>Stature &amp; Hybrid Tall-01DKD2</v>
          </cell>
          <cell r="AI11" t="str">
            <v>Internal Seed 01DKD2+FOLV1561</v>
          </cell>
          <cell r="AK11">
            <v>1530670415306700</v>
          </cell>
          <cell r="AL11">
            <v>18585004</v>
          </cell>
          <cell r="AM11">
            <v>4</v>
          </cell>
          <cell r="AN11">
            <v>2848996</v>
          </cell>
          <cell r="AV11">
            <v>2849004</v>
          </cell>
          <cell r="AW11">
            <v>110120733</v>
          </cell>
          <cell r="BA11">
            <v>10317493</v>
          </cell>
          <cell r="BC11">
            <v>670926</v>
          </cell>
          <cell r="BD11" t="str">
            <v>Other</v>
          </cell>
          <cell r="BE11" t="str">
            <v>01DKD2+FOLV1561</v>
          </cell>
          <cell r="BF11" t="str">
            <v>01DKD2</v>
          </cell>
          <cell r="BG11" t="str">
            <v>FOLV1561</v>
          </cell>
          <cell r="BH11" t="str">
            <v>01DKD2_FOLV1561</v>
          </cell>
          <cell r="BI11">
            <v>2</v>
          </cell>
          <cell r="BJ11">
            <v>14</v>
          </cell>
        </row>
        <row r="12">
          <cell r="A12">
            <v>18584999</v>
          </cell>
          <cell r="B12" t="str">
            <v>White Heath, IL</v>
          </cell>
          <cell r="C12" t="str">
            <v>ILAJ.02</v>
          </cell>
          <cell r="D12" t="str">
            <v>ILAJ.02</v>
          </cell>
          <cell r="E12" t="str">
            <v>WHAJ.RC.UI</v>
          </cell>
          <cell r="F12">
            <v>22488</v>
          </cell>
          <cell r="G12">
            <v>455810</v>
          </cell>
          <cell r="H12" t="str">
            <v>RCO_SBY105-01DKD2-T L01</v>
          </cell>
          <cell r="I12" t="str">
            <v>Tall</v>
          </cell>
          <cell r="J12">
            <v>18584999</v>
          </cell>
          <cell r="K12">
            <v>3</v>
          </cell>
          <cell r="L12">
            <v>3</v>
          </cell>
          <cell r="M12">
            <v>7</v>
          </cell>
          <cell r="O12">
            <v>2</v>
          </cell>
          <cell r="P12">
            <v>15</v>
          </cell>
          <cell r="Q12">
            <v>10499354</v>
          </cell>
          <cell r="R12" t="str">
            <v>internal_seed</v>
          </cell>
          <cell r="S12" t="str">
            <v>experiment</v>
          </cell>
          <cell r="U12" t="str">
            <v>{"entityType":"setEntry","value":"18584999"}</v>
          </cell>
          <cell r="Y12" t="str">
            <v>22 10 84 40 HIKI22MK44A3-18DN4_00003_00056_1_@_+</v>
          </cell>
          <cell r="Z12" t="str">
            <v>Stature &amp; Hybrid</v>
          </cell>
          <cell r="AA12" t="str">
            <v>Internal Seed</v>
          </cell>
          <cell r="AB12" t="str">
            <v>01DKD2+80IDM2</v>
          </cell>
          <cell r="AH12" t="str">
            <v>Stature &amp; Hybrid Tall-01DKD2</v>
          </cell>
          <cell r="AI12" t="str">
            <v>Internal Seed 01DKD2+80IDM2</v>
          </cell>
          <cell r="AK12">
            <v>1530671915306710</v>
          </cell>
          <cell r="AL12">
            <v>18584999</v>
          </cell>
          <cell r="AM12">
            <v>5</v>
          </cell>
          <cell r="AN12">
            <v>2848996</v>
          </cell>
          <cell r="AV12">
            <v>2849003</v>
          </cell>
          <cell r="AW12">
            <v>110120734</v>
          </cell>
          <cell r="BA12">
            <v>10499354</v>
          </cell>
          <cell r="BC12">
            <v>670914</v>
          </cell>
          <cell r="BD12" t="str">
            <v>Other</v>
          </cell>
          <cell r="BE12" t="str">
            <v>01DKD2+80IDM2</v>
          </cell>
          <cell r="BF12" t="str">
            <v>01DKD2</v>
          </cell>
          <cell r="BG12" t="str">
            <v>80IDM2</v>
          </cell>
          <cell r="BH12" t="str">
            <v>01DKD2_80IDM2</v>
          </cell>
          <cell r="BI12">
            <v>2</v>
          </cell>
          <cell r="BJ12">
            <v>15</v>
          </cell>
        </row>
        <row r="13">
          <cell r="A13">
            <v>18585005</v>
          </cell>
          <cell r="B13" t="str">
            <v>White Heath, IL</v>
          </cell>
          <cell r="C13" t="str">
            <v>ILAJ.02</v>
          </cell>
          <cell r="D13" t="str">
            <v>ILAJ.02</v>
          </cell>
          <cell r="E13" t="str">
            <v>WHAJ.RC.UI</v>
          </cell>
          <cell r="F13">
            <v>22488</v>
          </cell>
          <cell r="G13">
            <v>455810</v>
          </cell>
          <cell r="H13" t="str">
            <v>RCO_SBY105-01DKD2-T L01</v>
          </cell>
          <cell r="I13" t="str">
            <v>Tall</v>
          </cell>
          <cell r="J13">
            <v>18585005</v>
          </cell>
          <cell r="K13">
            <v>9</v>
          </cell>
          <cell r="L13">
            <v>3</v>
          </cell>
          <cell r="M13">
            <v>8</v>
          </cell>
          <cell r="O13">
            <v>2</v>
          </cell>
          <cell r="P13">
            <v>16</v>
          </cell>
          <cell r="Q13">
            <v>10317493</v>
          </cell>
          <cell r="R13" t="str">
            <v>internal_seed</v>
          </cell>
          <cell r="S13" t="str">
            <v>experiment</v>
          </cell>
          <cell r="U13" t="str">
            <v>{"entityType":"setEntry","value":"18585005"}</v>
          </cell>
          <cell r="Y13" t="str">
            <v>22 10 84 40 HIKI22MK44A3-18DN4_00006_00099_1_@_+</v>
          </cell>
          <cell r="Z13" t="str">
            <v>Stature &amp; Hybrid</v>
          </cell>
          <cell r="AA13" t="str">
            <v>Internal Seed</v>
          </cell>
          <cell r="AB13" t="str">
            <v>01DKD2+FOLV1561</v>
          </cell>
          <cell r="AH13" t="str">
            <v>Stature &amp; Hybrid Tall-01DKD2</v>
          </cell>
          <cell r="AI13" t="str">
            <v>Internal Seed 01DKD2+FOLV1561</v>
          </cell>
          <cell r="AK13">
            <v>1530670815306700</v>
          </cell>
          <cell r="AL13">
            <v>18585005</v>
          </cell>
          <cell r="AM13">
            <v>6</v>
          </cell>
          <cell r="AN13">
            <v>2848996</v>
          </cell>
          <cell r="AV13">
            <v>2849004</v>
          </cell>
          <cell r="AW13">
            <v>110120735</v>
          </cell>
          <cell r="BA13">
            <v>10317493</v>
          </cell>
          <cell r="BC13">
            <v>670926</v>
          </cell>
          <cell r="BD13" t="str">
            <v>Other</v>
          </cell>
          <cell r="BE13" t="str">
            <v>01DKD2+FOLV1561</v>
          </cell>
          <cell r="BF13" t="str">
            <v>01DKD2</v>
          </cell>
          <cell r="BG13" t="str">
            <v>FOLV1561</v>
          </cell>
          <cell r="BH13" t="str">
            <v>01DKD2_FOLV1561</v>
          </cell>
          <cell r="BI13">
            <v>2</v>
          </cell>
          <cell r="BJ13">
            <v>16</v>
          </cell>
        </row>
        <row r="14">
          <cell r="A14">
            <v>18585044</v>
          </cell>
          <cell r="B14" t="str">
            <v>White Heath, IL</v>
          </cell>
          <cell r="C14" t="str">
            <v>ILAJ.02</v>
          </cell>
          <cell r="D14" t="str">
            <v>ILAJ.02</v>
          </cell>
          <cell r="E14" t="str">
            <v>WHAJ.RC.UI</v>
          </cell>
          <cell r="F14">
            <v>22488</v>
          </cell>
          <cell r="G14">
            <v>455813</v>
          </cell>
          <cell r="H14" t="str">
            <v>RCO_SBY105-T L01</v>
          </cell>
          <cell r="I14" t="str">
            <v>Tall</v>
          </cell>
          <cell r="J14">
            <v>18585044</v>
          </cell>
          <cell r="K14">
            <v>12</v>
          </cell>
          <cell r="L14">
            <v>6</v>
          </cell>
          <cell r="M14">
            <v>6</v>
          </cell>
          <cell r="O14">
            <v>3</v>
          </cell>
          <cell r="P14">
            <v>3</v>
          </cell>
          <cell r="Q14">
            <v>10550899</v>
          </cell>
          <cell r="R14" t="str">
            <v>internal_seed</v>
          </cell>
          <cell r="S14" t="str">
            <v>experiment</v>
          </cell>
          <cell r="U14" t="str">
            <v>{"entityType":"setEntry","value":"18585044"}</v>
          </cell>
          <cell r="Y14" t="str">
            <v>22 10 84 40 HIKI22MK41A3-18DN4_00036_00070_1_@_+</v>
          </cell>
          <cell r="Z14" t="str">
            <v>Stature &amp; Hybrid</v>
          </cell>
          <cell r="AA14" t="str">
            <v>Internal Seed</v>
          </cell>
          <cell r="AB14" t="str">
            <v>01DKD2+JULV1678</v>
          </cell>
          <cell r="AH14" t="str">
            <v>Stature &amp; Hybrid Tall</v>
          </cell>
          <cell r="AI14" t="str">
            <v>Internal Seed HAQE1642-TVX-B+GALV1542</v>
          </cell>
          <cell r="AK14">
            <v>1530678315306780</v>
          </cell>
          <cell r="AL14">
            <v>18585044</v>
          </cell>
          <cell r="AM14">
            <v>12</v>
          </cell>
          <cell r="AN14">
            <v>2848995</v>
          </cell>
          <cell r="AU14" t="str">
            <v>pMON38850,pMON25496</v>
          </cell>
          <cell r="AV14">
            <v>2849002</v>
          </cell>
          <cell r="AW14">
            <v>110120729</v>
          </cell>
          <cell r="BA14">
            <v>10550899</v>
          </cell>
          <cell r="BC14">
            <v>656778</v>
          </cell>
          <cell r="BD14" t="str">
            <v>Other</v>
          </cell>
          <cell r="BE14" t="str">
            <v>01DKD2+JULV1678</v>
          </cell>
          <cell r="BF14" t="str">
            <v>01DKD2</v>
          </cell>
          <cell r="BG14" t="str">
            <v>JULV1678</v>
          </cell>
          <cell r="BH14" t="str">
            <v>01DKD2_JULV1678</v>
          </cell>
          <cell r="BI14">
            <v>3</v>
          </cell>
          <cell r="BJ14">
            <v>3</v>
          </cell>
        </row>
        <row r="15">
          <cell r="A15">
            <v>18585038</v>
          </cell>
          <cell r="B15" t="str">
            <v>White Heath, IL</v>
          </cell>
          <cell r="C15" t="str">
            <v>ILAJ.02</v>
          </cell>
          <cell r="D15" t="str">
            <v>ILAJ.02</v>
          </cell>
          <cell r="E15" t="str">
            <v>WHAJ.RC.UI</v>
          </cell>
          <cell r="F15">
            <v>22488</v>
          </cell>
          <cell r="G15">
            <v>455813</v>
          </cell>
          <cell r="H15" t="str">
            <v>RCO_SBY105-T L01</v>
          </cell>
          <cell r="I15" t="str">
            <v>Tall</v>
          </cell>
          <cell r="J15">
            <v>18585038</v>
          </cell>
          <cell r="K15">
            <v>6</v>
          </cell>
          <cell r="L15">
            <v>6</v>
          </cell>
          <cell r="M15">
            <v>5</v>
          </cell>
          <cell r="O15">
            <v>3</v>
          </cell>
          <cell r="P15">
            <v>4</v>
          </cell>
          <cell r="Q15">
            <v>9082957</v>
          </cell>
          <cell r="R15" t="str">
            <v>internal_seed</v>
          </cell>
          <cell r="S15" t="str">
            <v>experiment</v>
          </cell>
          <cell r="U15" t="str">
            <v>{"entityType":"setEntry","value":"18585038"}</v>
          </cell>
          <cell r="Y15" t="str">
            <v>22 04 27 2C IAWLMJ07_00004_00013_1_@_+</v>
          </cell>
          <cell r="Z15" t="str">
            <v>Stature &amp; Hybrid</v>
          </cell>
          <cell r="AA15" t="str">
            <v>Internal Seed</v>
          </cell>
          <cell r="AB15" t="str">
            <v>FODC1524-TVX-A+HILV1608</v>
          </cell>
          <cell r="AH15" t="str">
            <v>Stature &amp; Hybrid Tall</v>
          </cell>
          <cell r="AI15" t="str">
            <v>Internal Seed FODC1524-TVX-A+HILV1608</v>
          </cell>
          <cell r="AK15">
            <v>1530677415306770</v>
          </cell>
          <cell r="AL15">
            <v>18585038</v>
          </cell>
          <cell r="AM15">
            <v>11</v>
          </cell>
          <cell r="AN15">
            <v>2848995</v>
          </cell>
          <cell r="AU15" t="str">
            <v>pMON25496,pMON38850</v>
          </cell>
          <cell r="AV15">
            <v>2849001</v>
          </cell>
          <cell r="AW15">
            <v>110120728</v>
          </cell>
          <cell r="AY15" t="str">
            <v>pMON25496, pMON38850</v>
          </cell>
          <cell r="AZ15" t="str">
            <v>NK603, MON89034</v>
          </cell>
          <cell r="BA15">
            <v>9082957</v>
          </cell>
          <cell r="BB15" t="str">
            <v>I00879561579858698010000</v>
          </cell>
          <cell r="BC15">
            <v>562278</v>
          </cell>
          <cell r="BD15" t="str">
            <v>Other</v>
          </cell>
          <cell r="BE15" t="str">
            <v>FODC1524-TVX-A+HILV1608</v>
          </cell>
          <cell r="BF15" t="str">
            <v>FODC1524</v>
          </cell>
          <cell r="BG15" t="str">
            <v>HILV1608</v>
          </cell>
          <cell r="BH15" t="str">
            <v>FODC1524_HILV1608</v>
          </cell>
          <cell r="BI15">
            <v>3</v>
          </cell>
          <cell r="BJ15">
            <v>4</v>
          </cell>
        </row>
        <row r="16">
          <cell r="A16">
            <v>18585043</v>
          </cell>
          <cell r="B16" t="str">
            <v>White Heath, IL</v>
          </cell>
          <cell r="C16" t="str">
            <v>ILAJ.02</v>
          </cell>
          <cell r="D16" t="str">
            <v>ILAJ.02</v>
          </cell>
          <cell r="E16" t="str">
            <v>WHAJ.RC.UI</v>
          </cell>
          <cell r="F16">
            <v>22488</v>
          </cell>
          <cell r="G16">
            <v>455813</v>
          </cell>
          <cell r="H16" t="str">
            <v>RCO_SBY105-T L01</v>
          </cell>
          <cell r="I16" t="str">
            <v>Tall</v>
          </cell>
          <cell r="J16">
            <v>18585043</v>
          </cell>
          <cell r="K16">
            <v>11</v>
          </cell>
          <cell r="L16">
            <v>5</v>
          </cell>
          <cell r="M16">
            <v>6</v>
          </cell>
          <cell r="O16">
            <v>3</v>
          </cell>
          <cell r="P16">
            <v>5</v>
          </cell>
          <cell r="Q16">
            <v>10550899</v>
          </cell>
          <cell r="R16" t="str">
            <v>internal_seed</v>
          </cell>
          <cell r="S16" t="str">
            <v>experiment</v>
          </cell>
          <cell r="U16" t="str">
            <v>{"entityType":"setEntry","value":"18585043"}</v>
          </cell>
          <cell r="Y16" t="str">
            <v>22 10 84 40 HIKI22MK41A3-18DN4_00036_00070_1_@_+</v>
          </cell>
          <cell r="Z16" t="str">
            <v>Stature &amp; Hybrid</v>
          </cell>
          <cell r="AA16" t="str">
            <v>Internal Seed</v>
          </cell>
          <cell r="AB16" t="str">
            <v>01DKD2+JULV1678</v>
          </cell>
          <cell r="AH16" t="str">
            <v>Stature &amp; Hybrid Tall</v>
          </cell>
          <cell r="AI16" t="str">
            <v>Internal Seed HAQE1642-TVX-B+GALV1542</v>
          </cell>
          <cell r="AK16">
            <v>1530678815306780</v>
          </cell>
          <cell r="AL16">
            <v>18585043</v>
          </cell>
          <cell r="AM16">
            <v>10</v>
          </cell>
          <cell r="AN16">
            <v>2848995</v>
          </cell>
          <cell r="AU16" t="str">
            <v>pMON38850,pMON25496</v>
          </cell>
          <cell r="AV16">
            <v>2849002</v>
          </cell>
          <cell r="AW16">
            <v>110120727</v>
          </cell>
          <cell r="BA16">
            <v>10550899</v>
          </cell>
          <cell r="BC16">
            <v>656778</v>
          </cell>
          <cell r="BD16" t="str">
            <v>Other</v>
          </cell>
          <cell r="BE16" t="str">
            <v>01DKD2+JULV1678</v>
          </cell>
          <cell r="BF16" t="str">
            <v>01DKD2</v>
          </cell>
          <cell r="BG16" t="str">
            <v>JULV1678</v>
          </cell>
          <cell r="BH16" t="str">
            <v>01DKD2_JULV1678</v>
          </cell>
          <cell r="BI16">
            <v>3</v>
          </cell>
          <cell r="BJ16">
            <v>5</v>
          </cell>
        </row>
        <row r="17">
          <cell r="A17">
            <v>18585037</v>
          </cell>
          <cell r="B17" t="str">
            <v>White Heath, IL</v>
          </cell>
          <cell r="C17" t="str">
            <v>ILAJ.02</v>
          </cell>
          <cell r="D17" t="str">
            <v>ILAJ.02</v>
          </cell>
          <cell r="E17" t="str">
            <v>WHAJ.RC.UI</v>
          </cell>
          <cell r="F17">
            <v>22488</v>
          </cell>
          <cell r="G17">
            <v>455813</v>
          </cell>
          <cell r="H17" t="str">
            <v>RCO_SBY105-T L01</v>
          </cell>
          <cell r="I17" t="str">
            <v>Tall</v>
          </cell>
          <cell r="J17">
            <v>18585037</v>
          </cell>
          <cell r="K17">
            <v>5</v>
          </cell>
          <cell r="L17">
            <v>5</v>
          </cell>
          <cell r="M17">
            <v>5</v>
          </cell>
          <cell r="O17">
            <v>3</v>
          </cell>
          <cell r="P17">
            <v>6</v>
          </cell>
          <cell r="Q17">
            <v>9082957</v>
          </cell>
          <cell r="R17" t="str">
            <v>internal_seed</v>
          </cell>
          <cell r="S17" t="str">
            <v>experiment</v>
          </cell>
          <cell r="U17" t="str">
            <v>{"entityType":"setEntry","value":"18585037"}</v>
          </cell>
          <cell r="Y17" t="str">
            <v>22 04 27 2C IAWLMJ07_00004_00013_1_@_+</v>
          </cell>
          <cell r="Z17" t="str">
            <v>Stature &amp; Hybrid</v>
          </cell>
          <cell r="AA17" t="str">
            <v>Internal Seed</v>
          </cell>
          <cell r="AB17" t="str">
            <v>FODC1524-TVX-A+HILV1608</v>
          </cell>
          <cell r="AH17" t="str">
            <v>Stature &amp; Hybrid Tall</v>
          </cell>
          <cell r="AI17" t="str">
            <v>Internal Seed FODC1524-TVX-A+HILV1608</v>
          </cell>
          <cell r="AK17">
            <v>1530677715306770</v>
          </cell>
          <cell r="AL17">
            <v>18585037</v>
          </cell>
          <cell r="AM17">
            <v>9</v>
          </cell>
          <cell r="AN17">
            <v>2848995</v>
          </cell>
          <cell r="AU17" t="str">
            <v>pMON25496,pMON38850</v>
          </cell>
          <cell r="AV17">
            <v>2849001</v>
          </cell>
          <cell r="AW17">
            <v>110120726</v>
          </cell>
          <cell r="AY17" t="str">
            <v>pMON25496, pMON38850</v>
          </cell>
          <cell r="AZ17" t="str">
            <v>NK603, MON89034</v>
          </cell>
          <cell r="BA17">
            <v>9082957</v>
          </cell>
          <cell r="BB17" t="str">
            <v>I00879561579858698010000</v>
          </cell>
          <cell r="BC17">
            <v>562278</v>
          </cell>
          <cell r="BD17" t="str">
            <v>Other</v>
          </cell>
          <cell r="BE17" t="str">
            <v>FODC1524-TVX-A+HILV1608</v>
          </cell>
          <cell r="BF17" t="str">
            <v>FODC1524</v>
          </cell>
          <cell r="BG17" t="str">
            <v>HILV1608</v>
          </cell>
          <cell r="BH17" t="str">
            <v>FODC1524_HILV1608</v>
          </cell>
          <cell r="BI17">
            <v>3</v>
          </cell>
          <cell r="BJ17">
            <v>6</v>
          </cell>
        </row>
        <row r="18">
          <cell r="A18">
            <v>18585042</v>
          </cell>
          <cell r="B18" t="str">
            <v>White Heath, IL</v>
          </cell>
          <cell r="C18" t="str">
            <v>ILAJ.02</v>
          </cell>
          <cell r="D18" t="str">
            <v>ILAJ.02</v>
          </cell>
          <cell r="E18" t="str">
            <v>WHAJ.RC.UI</v>
          </cell>
          <cell r="F18">
            <v>22488</v>
          </cell>
          <cell r="G18">
            <v>455813</v>
          </cell>
          <cell r="H18" t="str">
            <v>RCO_SBY105-T L01</v>
          </cell>
          <cell r="I18" t="str">
            <v>Tall</v>
          </cell>
          <cell r="J18">
            <v>18585042</v>
          </cell>
          <cell r="K18">
            <v>10</v>
          </cell>
          <cell r="L18">
            <v>4</v>
          </cell>
          <cell r="M18">
            <v>6</v>
          </cell>
          <cell r="O18">
            <v>3</v>
          </cell>
          <cell r="P18">
            <v>7</v>
          </cell>
          <cell r="Q18">
            <v>10550899</v>
          </cell>
          <cell r="R18" t="str">
            <v>internal_seed</v>
          </cell>
          <cell r="S18" t="str">
            <v>experiment</v>
          </cell>
          <cell r="U18" t="str">
            <v>{"entityType":"setEntry","value":"18585042"}</v>
          </cell>
          <cell r="Y18" t="str">
            <v>22 10 84 40 HIKI22MK41A3-18DN4_00036_00070_1_@_+</v>
          </cell>
          <cell r="Z18" t="str">
            <v>Stature &amp; Hybrid</v>
          </cell>
          <cell r="AA18" t="str">
            <v>Internal Seed</v>
          </cell>
          <cell r="AB18" t="str">
            <v>01DKD2+JULV1678</v>
          </cell>
          <cell r="AH18" t="str">
            <v>Stature &amp; Hybrid Tall</v>
          </cell>
          <cell r="AI18" t="str">
            <v>Internal Seed HAQE1642-TVX-B+GALV1542</v>
          </cell>
          <cell r="AK18">
            <v>1530679215306790</v>
          </cell>
          <cell r="AL18">
            <v>18585042</v>
          </cell>
          <cell r="AM18">
            <v>8</v>
          </cell>
          <cell r="AN18">
            <v>2848995</v>
          </cell>
          <cell r="AU18" t="str">
            <v>pMON38850,pMON25496</v>
          </cell>
          <cell r="AV18">
            <v>2849002</v>
          </cell>
          <cell r="AW18">
            <v>110120725</v>
          </cell>
          <cell r="BA18">
            <v>10550899</v>
          </cell>
          <cell r="BC18">
            <v>656778</v>
          </cell>
          <cell r="BD18" t="str">
            <v>Other</v>
          </cell>
          <cell r="BE18" t="str">
            <v>01DKD2+JULV1678</v>
          </cell>
          <cell r="BF18" t="str">
            <v>01DKD2</v>
          </cell>
          <cell r="BG18" t="str">
            <v>JULV1678</v>
          </cell>
          <cell r="BH18" t="str">
            <v>01DKD2_JULV1678</v>
          </cell>
          <cell r="BI18">
            <v>3</v>
          </cell>
          <cell r="BJ18">
            <v>7</v>
          </cell>
        </row>
        <row r="19">
          <cell r="A19">
            <v>18585036</v>
          </cell>
          <cell r="B19" t="str">
            <v>White Heath, IL</v>
          </cell>
          <cell r="C19" t="str">
            <v>ILAJ.02</v>
          </cell>
          <cell r="D19" t="str">
            <v>ILAJ.02</v>
          </cell>
          <cell r="E19" t="str">
            <v>WHAJ.RC.UI</v>
          </cell>
          <cell r="F19">
            <v>22488</v>
          </cell>
          <cell r="G19">
            <v>455813</v>
          </cell>
          <cell r="H19" t="str">
            <v>RCO_SBY105-T L01</v>
          </cell>
          <cell r="I19" t="str">
            <v>Tall</v>
          </cell>
          <cell r="J19">
            <v>18585036</v>
          </cell>
          <cell r="K19">
            <v>4</v>
          </cell>
          <cell r="L19">
            <v>4</v>
          </cell>
          <cell r="M19">
            <v>5</v>
          </cell>
          <cell r="O19">
            <v>3</v>
          </cell>
          <cell r="P19">
            <v>8</v>
          </cell>
          <cell r="Q19">
            <v>9082957</v>
          </cell>
          <cell r="R19" t="str">
            <v>internal_seed</v>
          </cell>
          <cell r="S19" t="str">
            <v>experiment</v>
          </cell>
          <cell r="U19" t="str">
            <v>{"entityType":"setEntry","value":"18585036"}</v>
          </cell>
          <cell r="Y19" t="str">
            <v>22 04 27 2C IAWLMJ07_00004_00013_1_@_+</v>
          </cell>
          <cell r="Z19" t="str">
            <v>Stature &amp; Hybrid</v>
          </cell>
          <cell r="AA19" t="str">
            <v>Internal Seed</v>
          </cell>
          <cell r="AB19" t="str">
            <v>FODC1524-TVX-A+HILV1608</v>
          </cell>
          <cell r="AH19" t="str">
            <v>Stature &amp; Hybrid Tall</v>
          </cell>
          <cell r="AI19" t="str">
            <v>Internal Seed FODC1524-TVX-A+HILV1608</v>
          </cell>
          <cell r="AK19">
            <v>1530678215306780</v>
          </cell>
          <cell r="AL19">
            <v>18585036</v>
          </cell>
          <cell r="AM19">
            <v>7</v>
          </cell>
          <cell r="AN19">
            <v>2848995</v>
          </cell>
          <cell r="AU19" t="str">
            <v>pMON25496,pMON38850</v>
          </cell>
          <cell r="AV19">
            <v>2849001</v>
          </cell>
          <cell r="AW19">
            <v>110120724</v>
          </cell>
          <cell r="AY19" t="str">
            <v>pMON25496, pMON38850</v>
          </cell>
          <cell r="AZ19" t="str">
            <v>NK603, MON89034</v>
          </cell>
          <cell r="BA19">
            <v>9082957</v>
          </cell>
          <cell r="BB19" t="str">
            <v>I00879561579858698010000</v>
          </cell>
          <cell r="BC19">
            <v>562278</v>
          </cell>
          <cell r="BD19" t="str">
            <v>Other</v>
          </cell>
          <cell r="BE19" t="str">
            <v>FODC1524-TVX-A+HILV1608</v>
          </cell>
          <cell r="BF19" t="str">
            <v>FODC1524</v>
          </cell>
          <cell r="BG19" t="str">
            <v>HILV1608</v>
          </cell>
          <cell r="BH19" t="str">
            <v>FODC1524_HILV1608</v>
          </cell>
          <cell r="BI19">
            <v>3</v>
          </cell>
          <cell r="BJ19">
            <v>8</v>
          </cell>
        </row>
        <row r="20">
          <cell r="A20">
            <v>18585008</v>
          </cell>
          <cell r="B20" t="str">
            <v>White Heath, IL</v>
          </cell>
          <cell r="C20" t="str">
            <v>ILAJ.02</v>
          </cell>
          <cell r="D20" t="str">
            <v>ILAJ.02</v>
          </cell>
          <cell r="E20" t="str">
            <v>WHAJ.RC.UI</v>
          </cell>
          <cell r="F20">
            <v>22488</v>
          </cell>
          <cell r="G20">
            <v>455810</v>
          </cell>
          <cell r="H20" t="str">
            <v>RCO_SBY105-01DKD2-T L01</v>
          </cell>
          <cell r="I20" t="str">
            <v>Tall</v>
          </cell>
          <cell r="J20">
            <v>18585008</v>
          </cell>
          <cell r="K20">
            <v>12</v>
          </cell>
          <cell r="L20">
            <v>6</v>
          </cell>
          <cell r="M20">
            <v>8</v>
          </cell>
          <cell r="O20">
            <v>3</v>
          </cell>
          <cell r="P20">
            <v>11</v>
          </cell>
          <cell r="Q20">
            <v>10317493</v>
          </cell>
          <cell r="R20" t="str">
            <v>internal_seed</v>
          </cell>
          <cell r="S20" t="str">
            <v>experiment</v>
          </cell>
          <cell r="U20" t="str">
            <v>{"entityType":"setEntry","value":"18585008"}</v>
          </cell>
          <cell r="Y20" t="str">
            <v>22 10 84 40 HIKI22MK44A3-18DN4_00006_00099_1_@_+</v>
          </cell>
          <cell r="Z20" t="str">
            <v>Stature &amp; Hybrid</v>
          </cell>
          <cell r="AA20" t="str">
            <v>Internal Seed</v>
          </cell>
          <cell r="AB20" t="str">
            <v>01DKD2+FOLV1561</v>
          </cell>
          <cell r="AH20" t="str">
            <v>Stature &amp; Hybrid Tall-01DKD2</v>
          </cell>
          <cell r="AI20" t="str">
            <v>Internal Seed 01DKD2+FOLV1561</v>
          </cell>
          <cell r="AK20">
            <v>1530657315306570</v>
          </cell>
          <cell r="AL20">
            <v>18585008</v>
          </cell>
          <cell r="AM20">
            <v>12</v>
          </cell>
          <cell r="AN20">
            <v>2848996</v>
          </cell>
          <cell r="AV20">
            <v>2849004</v>
          </cell>
          <cell r="AW20">
            <v>110120741</v>
          </cell>
          <cell r="BA20">
            <v>10317493</v>
          </cell>
          <cell r="BC20">
            <v>670926</v>
          </cell>
          <cell r="BD20" t="str">
            <v>Other</v>
          </cell>
          <cell r="BE20" t="str">
            <v>01DKD2+FOLV1561</v>
          </cell>
          <cell r="BF20" t="str">
            <v>01DKD2</v>
          </cell>
          <cell r="BG20" t="str">
            <v>FOLV1561</v>
          </cell>
          <cell r="BH20" t="str">
            <v>01DKD2_FOLV1561</v>
          </cell>
          <cell r="BI20">
            <v>3</v>
          </cell>
          <cell r="BJ20">
            <v>11</v>
          </cell>
        </row>
        <row r="21">
          <cell r="A21">
            <v>18585002</v>
          </cell>
          <cell r="B21" t="str">
            <v>White Heath, IL</v>
          </cell>
          <cell r="C21" t="str">
            <v>ILAJ.02</v>
          </cell>
          <cell r="D21" t="str">
            <v>ILAJ.02</v>
          </cell>
          <cell r="E21" t="str">
            <v>WHAJ.RC.UI</v>
          </cell>
          <cell r="F21">
            <v>22488</v>
          </cell>
          <cell r="G21">
            <v>455810</v>
          </cell>
          <cell r="H21" t="str">
            <v>RCO_SBY105-01DKD2-T L01</v>
          </cell>
          <cell r="I21" t="str">
            <v>Tall</v>
          </cell>
          <cell r="J21">
            <v>18585002</v>
          </cell>
          <cell r="K21">
            <v>6</v>
          </cell>
          <cell r="L21">
            <v>6</v>
          </cell>
          <cell r="M21">
            <v>7</v>
          </cell>
          <cell r="O21">
            <v>3</v>
          </cell>
          <cell r="P21">
            <v>12</v>
          </cell>
          <cell r="Q21">
            <v>10499354</v>
          </cell>
          <cell r="R21" t="str">
            <v>internal_seed</v>
          </cell>
          <cell r="S21" t="str">
            <v>experiment</v>
          </cell>
          <cell r="U21" t="str">
            <v>{"entityType":"setEntry","value":"18585002"}</v>
          </cell>
          <cell r="Y21" t="str">
            <v>22 10 84 40 HIKI22MK44A3-18DN4_00003_00056_1_@_+</v>
          </cell>
          <cell r="Z21" t="str">
            <v>Stature &amp; Hybrid</v>
          </cell>
          <cell r="AA21" t="str">
            <v>Internal Seed</v>
          </cell>
          <cell r="AB21" t="str">
            <v>01DKD2+80IDM2</v>
          </cell>
          <cell r="AH21" t="str">
            <v>Stature &amp; Hybrid Tall-01DKD2</v>
          </cell>
          <cell r="AI21" t="str">
            <v>Internal Seed 01DKD2+80IDM2</v>
          </cell>
          <cell r="AK21">
            <v>1530671315306710</v>
          </cell>
          <cell r="AL21">
            <v>18585002</v>
          </cell>
          <cell r="AM21">
            <v>11</v>
          </cell>
          <cell r="AN21">
            <v>2848996</v>
          </cell>
          <cell r="AV21">
            <v>2849003</v>
          </cell>
          <cell r="AW21">
            <v>110120740</v>
          </cell>
          <cell r="BA21">
            <v>10499354</v>
          </cell>
          <cell r="BC21">
            <v>670914</v>
          </cell>
          <cell r="BD21" t="str">
            <v>Other</v>
          </cell>
          <cell r="BE21" t="str">
            <v>01DKD2+80IDM2</v>
          </cell>
          <cell r="BF21" t="str">
            <v>01DKD2</v>
          </cell>
          <cell r="BG21" t="str">
            <v>80IDM2</v>
          </cell>
          <cell r="BH21" t="str">
            <v>01DKD2_80IDM2</v>
          </cell>
          <cell r="BI21">
            <v>3</v>
          </cell>
          <cell r="BJ21">
            <v>12</v>
          </cell>
        </row>
        <row r="22">
          <cell r="A22">
            <v>18585007</v>
          </cell>
          <cell r="B22" t="str">
            <v>White Heath, IL</v>
          </cell>
          <cell r="C22" t="str">
            <v>ILAJ.02</v>
          </cell>
          <cell r="D22" t="str">
            <v>ILAJ.02</v>
          </cell>
          <cell r="E22" t="str">
            <v>WHAJ.RC.UI</v>
          </cell>
          <cell r="F22">
            <v>22488</v>
          </cell>
          <cell r="G22">
            <v>455810</v>
          </cell>
          <cell r="H22" t="str">
            <v>RCO_SBY105-01DKD2-T L01</v>
          </cell>
          <cell r="I22" t="str">
            <v>Tall</v>
          </cell>
          <cell r="J22">
            <v>18585007</v>
          </cell>
          <cell r="K22">
            <v>11</v>
          </cell>
          <cell r="L22">
            <v>5</v>
          </cell>
          <cell r="M22">
            <v>8</v>
          </cell>
          <cell r="O22">
            <v>3</v>
          </cell>
          <cell r="P22">
            <v>13</v>
          </cell>
          <cell r="Q22">
            <v>10317493</v>
          </cell>
          <cell r="R22" t="str">
            <v>internal_seed</v>
          </cell>
          <cell r="S22" t="str">
            <v>experiment</v>
          </cell>
          <cell r="U22" t="str">
            <v>{"entityType":"setEntry","value":"18585007"}</v>
          </cell>
          <cell r="Y22" t="str">
            <v>22 10 84 40 HIKI22MK44A3-18DN4_00006_00099_1_@_+</v>
          </cell>
          <cell r="Z22" t="str">
            <v>Stature &amp; Hybrid</v>
          </cell>
          <cell r="AA22" t="str">
            <v>Internal Seed</v>
          </cell>
          <cell r="AB22" t="str">
            <v>01DKD2+FOLV1561</v>
          </cell>
          <cell r="AH22" t="str">
            <v>Stature &amp; Hybrid Tall-01DKD2</v>
          </cell>
          <cell r="AI22" t="str">
            <v>Internal Seed 01DKD2+FOLV1561</v>
          </cell>
          <cell r="AK22">
            <v>1530670215306700</v>
          </cell>
          <cell r="AL22">
            <v>18585007</v>
          </cell>
          <cell r="AM22">
            <v>10</v>
          </cell>
          <cell r="AN22">
            <v>2848996</v>
          </cell>
          <cell r="AV22">
            <v>2849004</v>
          </cell>
          <cell r="AW22">
            <v>110120739</v>
          </cell>
          <cell r="BA22">
            <v>10317493</v>
          </cell>
          <cell r="BC22">
            <v>670926</v>
          </cell>
          <cell r="BD22" t="str">
            <v>Other</v>
          </cell>
          <cell r="BE22" t="str">
            <v>01DKD2+FOLV1561</v>
          </cell>
          <cell r="BF22" t="str">
            <v>01DKD2</v>
          </cell>
          <cell r="BG22" t="str">
            <v>FOLV1561</v>
          </cell>
          <cell r="BH22" t="str">
            <v>01DKD2_FOLV1561</v>
          </cell>
          <cell r="BI22">
            <v>3</v>
          </cell>
          <cell r="BJ22">
            <v>13</v>
          </cell>
        </row>
        <row r="23">
          <cell r="A23">
            <v>18585001</v>
          </cell>
          <cell r="B23" t="str">
            <v>White Heath, IL</v>
          </cell>
          <cell r="C23" t="str">
            <v>ILAJ.02</v>
          </cell>
          <cell r="D23" t="str">
            <v>ILAJ.02</v>
          </cell>
          <cell r="E23" t="str">
            <v>WHAJ.RC.UI</v>
          </cell>
          <cell r="F23">
            <v>22488</v>
          </cell>
          <cell r="G23">
            <v>455810</v>
          </cell>
          <cell r="H23" t="str">
            <v>RCO_SBY105-01DKD2-T L01</v>
          </cell>
          <cell r="I23" t="str">
            <v>Tall</v>
          </cell>
          <cell r="J23">
            <v>18585001</v>
          </cell>
          <cell r="K23">
            <v>5</v>
          </cell>
          <cell r="L23">
            <v>5</v>
          </cell>
          <cell r="M23">
            <v>7</v>
          </cell>
          <cell r="O23">
            <v>3</v>
          </cell>
          <cell r="P23">
            <v>14</v>
          </cell>
          <cell r="Q23">
            <v>10499354</v>
          </cell>
          <cell r="R23" t="str">
            <v>internal_seed</v>
          </cell>
          <cell r="S23" t="str">
            <v>experiment</v>
          </cell>
          <cell r="U23" t="str">
            <v>{"entityType":"setEntry","value":"18585001"}</v>
          </cell>
          <cell r="Y23" t="str">
            <v>22 10 84 40 HIKI22MK44A3-18DN4_00003_00056_1_@_+</v>
          </cell>
          <cell r="Z23" t="str">
            <v>Stature &amp; Hybrid</v>
          </cell>
          <cell r="AA23" t="str">
            <v>Internal Seed</v>
          </cell>
          <cell r="AB23" t="str">
            <v>01DKD2+80IDM2</v>
          </cell>
          <cell r="AH23" t="str">
            <v>Stature &amp; Hybrid Tall-01DKD2</v>
          </cell>
          <cell r="AI23" t="str">
            <v>Internal Seed 01DKD2+80IDM2</v>
          </cell>
          <cell r="AK23">
            <v>1530671615306710</v>
          </cell>
          <cell r="AL23">
            <v>18585001</v>
          </cell>
          <cell r="AM23">
            <v>9</v>
          </cell>
          <cell r="AN23">
            <v>2848996</v>
          </cell>
          <cell r="AV23">
            <v>2849003</v>
          </cell>
          <cell r="AW23">
            <v>110120738</v>
          </cell>
          <cell r="BA23">
            <v>10499354</v>
          </cell>
          <cell r="BC23">
            <v>670914</v>
          </cell>
          <cell r="BD23" t="str">
            <v>Other</v>
          </cell>
          <cell r="BE23" t="str">
            <v>01DKD2+80IDM2</v>
          </cell>
          <cell r="BF23" t="str">
            <v>01DKD2</v>
          </cell>
          <cell r="BG23" t="str">
            <v>80IDM2</v>
          </cell>
          <cell r="BH23" t="str">
            <v>01DKD2_80IDM2</v>
          </cell>
          <cell r="BI23">
            <v>3</v>
          </cell>
          <cell r="BJ23">
            <v>14</v>
          </cell>
        </row>
        <row r="24">
          <cell r="A24">
            <v>18585006</v>
          </cell>
          <cell r="B24" t="str">
            <v>White Heath, IL</v>
          </cell>
          <cell r="C24" t="str">
            <v>ILAJ.02</v>
          </cell>
          <cell r="D24" t="str">
            <v>ILAJ.02</v>
          </cell>
          <cell r="E24" t="str">
            <v>WHAJ.RC.UI</v>
          </cell>
          <cell r="F24">
            <v>22488</v>
          </cell>
          <cell r="G24">
            <v>455810</v>
          </cell>
          <cell r="H24" t="str">
            <v>RCO_SBY105-01DKD2-T L01</v>
          </cell>
          <cell r="I24" t="str">
            <v>Tall</v>
          </cell>
          <cell r="J24">
            <v>18585006</v>
          </cell>
          <cell r="K24">
            <v>10</v>
          </cell>
          <cell r="L24">
            <v>4</v>
          </cell>
          <cell r="M24">
            <v>8</v>
          </cell>
          <cell r="O24">
            <v>3</v>
          </cell>
          <cell r="P24">
            <v>15</v>
          </cell>
          <cell r="Q24">
            <v>10317493</v>
          </cell>
          <cell r="R24" t="str">
            <v>internal_seed</v>
          </cell>
          <cell r="S24" t="str">
            <v>experiment</v>
          </cell>
          <cell r="U24" t="str">
            <v>{"entityType":"setEntry","value":"18585006"}</v>
          </cell>
          <cell r="Y24" t="str">
            <v>22 10 84 40 HIKI22MK44A3-18DN4_00006_00099_1_@_+</v>
          </cell>
          <cell r="Z24" t="str">
            <v>Stature &amp; Hybrid</v>
          </cell>
          <cell r="AA24" t="str">
            <v>Internal Seed</v>
          </cell>
          <cell r="AB24" t="str">
            <v>01DKD2+FOLV1561</v>
          </cell>
          <cell r="AH24" t="str">
            <v>Stature &amp; Hybrid Tall-01DKD2</v>
          </cell>
          <cell r="AI24" t="str">
            <v>Internal Seed 01DKD2+FOLV1561</v>
          </cell>
          <cell r="AK24">
            <v>1530670615306700</v>
          </cell>
          <cell r="AL24">
            <v>18585006</v>
          </cell>
          <cell r="AM24">
            <v>8</v>
          </cell>
          <cell r="AN24">
            <v>2848996</v>
          </cell>
          <cell r="AV24">
            <v>2849004</v>
          </cell>
          <cell r="AW24">
            <v>110120737</v>
          </cell>
          <cell r="BA24">
            <v>10317493</v>
          </cell>
          <cell r="BC24">
            <v>670926</v>
          </cell>
          <cell r="BD24" t="str">
            <v>Other</v>
          </cell>
          <cell r="BE24" t="str">
            <v>01DKD2+FOLV1561</v>
          </cell>
          <cell r="BF24" t="str">
            <v>01DKD2</v>
          </cell>
          <cell r="BG24" t="str">
            <v>FOLV1561</v>
          </cell>
          <cell r="BH24" t="str">
            <v>01DKD2_FOLV1561</v>
          </cell>
          <cell r="BI24">
            <v>3</v>
          </cell>
          <cell r="BJ24">
            <v>15</v>
          </cell>
        </row>
        <row r="25">
          <cell r="A25">
            <v>18585000</v>
          </cell>
          <cell r="B25" t="str">
            <v>White Heath, IL</v>
          </cell>
          <cell r="C25" t="str">
            <v>ILAJ.02</v>
          </cell>
          <cell r="D25" t="str">
            <v>ILAJ.02</v>
          </cell>
          <cell r="E25" t="str">
            <v>WHAJ.RC.UI</v>
          </cell>
          <cell r="F25">
            <v>22488</v>
          </cell>
          <cell r="G25">
            <v>455810</v>
          </cell>
          <cell r="H25" t="str">
            <v>RCO_SBY105-01DKD2-T L01</v>
          </cell>
          <cell r="I25" t="str">
            <v>Tall</v>
          </cell>
          <cell r="J25">
            <v>18585000</v>
          </cell>
          <cell r="K25">
            <v>4</v>
          </cell>
          <cell r="L25">
            <v>4</v>
          </cell>
          <cell r="M25">
            <v>7</v>
          </cell>
          <cell r="O25">
            <v>3</v>
          </cell>
          <cell r="P25">
            <v>16</v>
          </cell>
          <cell r="Q25">
            <v>10499354</v>
          </cell>
          <cell r="R25" t="str">
            <v>internal_seed</v>
          </cell>
          <cell r="S25" t="str">
            <v>experiment</v>
          </cell>
          <cell r="U25" t="str">
            <v>{"entityType":"setEntry","value":"18585000"}</v>
          </cell>
          <cell r="Y25" t="str">
            <v>22 10 84 40 HIKI22MK44A3-18DN4_00003_00056_1_@_+</v>
          </cell>
          <cell r="Z25" t="str">
            <v>Stature &amp; Hybrid</v>
          </cell>
          <cell r="AA25" t="str">
            <v>Internal Seed</v>
          </cell>
          <cell r="AB25" t="str">
            <v>01DKD2+80IDM2</v>
          </cell>
          <cell r="AH25" t="str">
            <v>Stature &amp; Hybrid Tall-01DKD2</v>
          </cell>
          <cell r="AI25" t="str">
            <v>Internal Seed 01DKD2+80IDM2</v>
          </cell>
          <cell r="AK25">
            <v>1530672115306720</v>
          </cell>
          <cell r="AL25">
            <v>18585000</v>
          </cell>
          <cell r="AM25">
            <v>7</v>
          </cell>
          <cell r="AN25">
            <v>2848996</v>
          </cell>
          <cell r="AV25">
            <v>2849003</v>
          </cell>
          <cell r="AW25">
            <v>110120736</v>
          </cell>
          <cell r="BA25">
            <v>10499354</v>
          </cell>
          <cell r="BC25">
            <v>670914</v>
          </cell>
          <cell r="BD25" t="str">
            <v>Other</v>
          </cell>
          <cell r="BE25" t="str">
            <v>01DKD2+80IDM2</v>
          </cell>
          <cell r="BF25" t="str">
            <v>01DKD2</v>
          </cell>
          <cell r="BG25" t="str">
            <v>80IDM2</v>
          </cell>
          <cell r="BH25" t="str">
            <v>01DKD2_80IDM2</v>
          </cell>
          <cell r="BI25">
            <v>3</v>
          </cell>
          <cell r="BJ25">
            <v>16</v>
          </cell>
        </row>
        <row r="26">
          <cell r="A26">
            <v>18585009</v>
          </cell>
          <cell r="B26" t="str">
            <v>White Heath, IL</v>
          </cell>
          <cell r="C26" t="str">
            <v>ILAJ.02</v>
          </cell>
          <cell r="D26" t="str">
            <v>ILAJ.02</v>
          </cell>
          <cell r="E26" t="str">
            <v>WHAJ.RC.UI</v>
          </cell>
          <cell r="F26">
            <v>22488</v>
          </cell>
          <cell r="G26">
            <v>455811</v>
          </cell>
          <cell r="H26" t="str">
            <v>RCO_SBY105-S-EUP L01</v>
          </cell>
          <cell r="I26" t="str">
            <v>Short</v>
          </cell>
          <cell r="J26">
            <v>18585009</v>
          </cell>
          <cell r="K26">
            <v>1</v>
          </cell>
          <cell r="L26">
            <v>1</v>
          </cell>
          <cell r="M26">
            <v>1</v>
          </cell>
          <cell r="O26">
            <v>6</v>
          </cell>
          <cell r="P26">
            <v>3</v>
          </cell>
          <cell r="Q26">
            <v>10311973</v>
          </cell>
          <cell r="R26" t="str">
            <v>internal_seed</v>
          </cell>
          <cell r="S26" t="str">
            <v>experiment</v>
          </cell>
          <cell r="T26" t="str">
            <v>DRPPT:2:NUMBER, PACK_ENT:2:PACK_PER_PLOT, SDPCGMT:Cassette Flexfill:TEXT, SEEDS_PACK:190:SEEDS_PER_PACK</v>
          </cell>
          <cell r="U26" t="str">
            <v>{"entityType":"setEntry","value":"18585009"}</v>
          </cell>
          <cell r="Y26" t="str">
            <v>22 10 27 40 HIKI22MK42B2-18R3_00010_00046_1_@_+</v>
          </cell>
          <cell r="Z26" t="str">
            <v>Stature &amp; Hybrid</v>
          </cell>
          <cell r="AA26" t="str">
            <v>Internal Seed</v>
          </cell>
          <cell r="AB26" t="str">
            <v>01DKD2-ASH-A+JULV1678</v>
          </cell>
          <cell r="AH26" t="str">
            <v>Stature &amp; Hybrid Short</v>
          </cell>
          <cell r="AK26">
            <v>1530662115306620</v>
          </cell>
          <cell r="AL26">
            <v>18585009</v>
          </cell>
          <cell r="AM26">
            <v>1</v>
          </cell>
          <cell r="AN26">
            <v>2412573</v>
          </cell>
          <cell r="AU26" t="str">
            <v>pMON25496,pMON38850</v>
          </cell>
          <cell r="AV26">
            <v>2848997</v>
          </cell>
          <cell r="AW26">
            <v>110120742</v>
          </cell>
          <cell r="AY26" t="str">
            <v>pMON373578</v>
          </cell>
          <cell r="AZ26" t="str">
            <v>ZM_S21773821</v>
          </cell>
          <cell r="BA26">
            <v>10311973</v>
          </cell>
          <cell r="BC26">
            <v>656799</v>
          </cell>
          <cell r="BD26" t="str">
            <v>Other</v>
          </cell>
          <cell r="BE26" t="str">
            <v>01DKD2-ASH-A+JULV1678</v>
          </cell>
          <cell r="BF26" t="str">
            <v>01DKD2</v>
          </cell>
          <cell r="BG26" t="str">
            <v>JULV1678</v>
          </cell>
          <cell r="BH26" t="str">
            <v>01DKD2_JULV1678</v>
          </cell>
          <cell r="BI26">
            <v>6</v>
          </cell>
          <cell r="BJ26">
            <v>3</v>
          </cell>
        </row>
        <row r="27">
          <cell r="A27">
            <v>18585015</v>
          </cell>
          <cell r="B27" t="str">
            <v>White Heath, IL</v>
          </cell>
          <cell r="C27" t="str">
            <v>ILAJ.02</v>
          </cell>
          <cell r="D27" t="str">
            <v>ILAJ.02</v>
          </cell>
          <cell r="E27" t="str">
            <v>WHAJ.RC.UI</v>
          </cell>
          <cell r="F27">
            <v>22488</v>
          </cell>
          <cell r="G27">
            <v>455811</v>
          </cell>
          <cell r="H27" t="str">
            <v>RCO_SBY105-S-EUP L01</v>
          </cell>
          <cell r="I27" t="str">
            <v>Short</v>
          </cell>
          <cell r="J27">
            <v>18585015</v>
          </cell>
          <cell r="K27">
            <v>7</v>
          </cell>
          <cell r="L27">
            <v>1</v>
          </cell>
          <cell r="M27">
            <v>2</v>
          </cell>
          <cell r="O27">
            <v>6</v>
          </cell>
          <cell r="P27">
            <v>4</v>
          </cell>
          <cell r="Q27">
            <v>9082958</v>
          </cell>
          <cell r="R27" t="str">
            <v>internal_seed</v>
          </cell>
          <cell r="S27" t="str">
            <v>experiment</v>
          </cell>
          <cell r="U27" t="str">
            <v>{"entityType":"setEntry","value":"18585015"}</v>
          </cell>
          <cell r="Y27" t="str">
            <v>22 04 27 2C IAWLMJ06_00006_00001_1_@_+</v>
          </cell>
          <cell r="Z27" t="str">
            <v>Stature &amp; Hybrid</v>
          </cell>
          <cell r="AA27" t="str">
            <v>Internal Seed</v>
          </cell>
          <cell r="AB27" t="str">
            <v>FODC1524-TVX-A+HILV1608</v>
          </cell>
          <cell r="AH27" t="str">
            <v>Stature &amp; Hybrid Short</v>
          </cell>
          <cell r="AI27" t="str">
            <v>Internal Seed FODC1524-TVX-A+HILV1608-XKM-B</v>
          </cell>
          <cell r="AK27">
            <v>1530661015306610</v>
          </cell>
          <cell r="AL27">
            <v>18585015</v>
          </cell>
          <cell r="AM27">
            <v>2</v>
          </cell>
          <cell r="AN27">
            <v>2412573</v>
          </cell>
          <cell r="AU27" t="str">
            <v>pMON25496,pMON38850</v>
          </cell>
          <cell r="AV27">
            <v>2848998</v>
          </cell>
          <cell r="AW27">
            <v>110120743</v>
          </cell>
          <cell r="AY27" t="str">
            <v>pMON25496, pMON38850</v>
          </cell>
          <cell r="AZ27" t="str">
            <v>NK603, MON89034</v>
          </cell>
          <cell r="BA27">
            <v>9082958</v>
          </cell>
          <cell r="BB27" t="str">
            <v>I00879561579553267010000</v>
          </cell>
          <cell r="BC27">
            <v>562285</v>
          </cell>
          <cell r="BD27" t="str">
            <v>Other</v>
          </cell>
          <cell r="BE27" t="str">
            <v>FODC1524-TVX-A+HILV1608</v>
          </cell>
          <cell r="BF27" t="str">
            <v>FODC1524</v>
          </cell>
          <cell r="BG27" t="str">
            <v>HILV1608</v>
          </cell>
          <cell r="BH27" t="str">
            <v>FODC1524_HILV1608</v>
          </cell>
          <cell r="BI27">
            <v>6</v>
          </cell>
          <cell r="BJ27">
            <v>4</v>
          </cell>
        </row>
        <row r="28">
          <cell r="A28">
            <v>18585010</v>
          </cell>
          <cell r="B28" t="str">
            <v>White Heath, IL</v>
          </cell>
          <cell r="C28" t="str">
            <v>ILAJ.02</v>
          </cell>
          <cell r="D28" t="str">
            <v>ILAJ.02</v>
          </cell>
          <cell r="E28" t="str">
            <v>WHAJ.RC.UI</v>
          </cell>
          <cell r="F28">
            <v>22488</v>
          </cell>
          <cell r="G28">
            <v>455811</v>
          </cell>
          <cell r="H28" t="str">
            <v>RCO_SBY105-S-EUP L01</v>
          </cell>
          <cell r="I28" t="str">
            <v>Short</v>
          </cell>
          <cell r="J28">
            <v>18585010</v>
          </cell>
          <cell r="K28">
            <v>2</v>
          </cell>
          <cell r="L28">
            <v>2</v>
          </cell>
          <cell r="M28">
            <v>1</v>
          </cell>
          <cell r="O28">
            <v>6</v>
          </cell>
          <cell r="P28">
            <v>5</v>
          </cell>
          <cell r="Q28">
            <v>10311973</v>
          </cell>
          <cell r="R28" t="str">
            <v>internal_seed</v>
          </cell>
          <cell r="S28" t="str">
            <v>experiment</v>
          </cell>
          <cell r="U28" t="str">
            <v>{"entityType":"setEntry","value":"18585010"}</v>
          </cell>
          <cell r="Y28" t="str">
            <v>22 10 27 40 HIKI22MK42B2-18R3_00010_00046_1_@_+</v>
          </cell>
          <cell r="Z28" t="str">
            <v>Stature &amp; Hybrid</v>
          </cell>
          <cell r="AA28" t="str">
            <v>Internal Seed</v>
          </cell>
          <cell r="AB28" t="str">
            <v>01DKD2-ASH-A+JULV1678</v>
          </cell>
          <cell r="AH28" t="str">
            <v>Stature &amp; Hybrid Short</v>
          </cell>
          <cell r="AK28">
            <v>1530662415306620</v>
          </cell>
          <cell r="AL28">
            <v>18585010</v>
          </cell>
          <cell r="AM28">
            <v>3</v>
          </cell>
          <cell r="AN28">
            <v>2412573</v>
          </cell>
          <cell r="AU28" t="str">
            <v>pMON25496,pMON38850</v>
          </cell>
          <cell r="AV28">
            <v>2848997</v>
          </cell>
          <cell r="AW28">
            <v>110120744</v>
          </cell>
          <cell r="AY28" t="str">
            <v>pMON373578</v>
          </cell>
          <cell r="AZ28" t="str">
            <v>ZM_S21773821</v>
          </cell>
          <cell r="BA28">
            <v>10311973</v>
          </cell>
          <cell r="BC28">
            <v>656799</v>
          </cell>
          <cell r="BD28" t="str">
            <v>Other</v>
          </cell>
          <cell r="BE28" t="str">
            <v>01DKD2-ASH-A+JULV1678</v>
          </cell>
          <cell r="BF28" t="str">
            <v>01DKD2</v>
          </cell>
          <cell r="BG28" t="str">
            <v>JULV1678</v>
          </cell>
          <cell r="BH28" t="str">
            <v>01DKD2_JULV1678</v>
          </cell>
          <cell r="BI28">
            <v>6</v>
          </cell>
          <cell r="BJ28">
            <v>5</v>
          </cell>
        </row>
        <row r="29">
          <cell r="A29">
            <v>18585016</v>
          </cell>
          <cell r="B29" t="str">
            <v>White Heath, IL</v>
          </cell>
          <cell r="C29" t="str">
            <v>ILAJ.02</v>
          </cell>
          <cell r="D29" t="str">
            <v>ILAJ.02</v>
          </cell>
          <cell r="E29" t="str">
            <v>WHAJ.RC.UI</v>
          </cell>
          <cell r="F29">
            <v>22488</v>
          </cell>
          <cell r="G29">
            <v>455811</v>
          </cell>
          <cell r="H29" t="str">
            <v>RCO_SBY105-S-EUP L01</v>
          </cell>
          <cell r="I29" t="str">
            <v>Short</v>
          </cell>
          <cell r="J29">
            <v>18585016</v>
          </cell>
          <cell r="K29">
            <v>8</v>
          </cell>
          <cell r="L29">
            <v>2</v>
          </cell>
          <cell r="M29">
            <v>2</v>
          </cell>
          <cell r="O29">
            <v>6</v>
          </cell>
          <cell r="P29">
            <v>6</v>
          </cell>
          <cell r="Q29">
            <v>9082958</v>
          </cell>
          <cell r="R29" t="str">
            <v>internal_seed</v>
          </cell>
          <cell r="S29" t="str">
            <v>experiment</v>
          </cell>
          <cell r="U29" t="str">
            <v>{"entityType":"setEntry","value":"18585016"}</v>
          </cell>
          <cell r="Y29" t="str">
            <v>22 04 27 2C IAWLMJ06_00006_00001_1_@_+</v>
          </cell>
          <cell r="Z29" t="str">
            <v>Stature &amp; Hybrid</v>
          </cell>
          <cell r="AA29" t="str">
            <v>Internal Seed</v>
          </cell>
          <cell r="AB29" t="str">
            <v>FODC1524-TVX-A+HILV1608-XKM-B</v>
          </cell>
          <cell r="AH29" t="str">
            <v>Stature &amp; Hybrid Short</v>
          </cell>
          <cell r="AI29" t="str">
            <v>Internal Seed FODC1524-TVX-A+HILV1608-XKM-B</v>
          </cell>
          <cell r="AK29">
            <v>1530661415306610</v>
          </cell>
          <cell r="AL29">
            <v>18585016</v>
          </cell>
          <cell r="AM29">
            <v>4</v>
          </cell>
          <cell r="AN29">
            <v>2412573</v>
          </cell>
          <cell r="AU29" t="str">
            <v>pMON25496,pMON38850</v>
          </cell>
          <cell r="AV29">
            <v>2848998</v>
          </cell>
          <cell r="AW29">
            <v>110120745</v>
          </cell>
          <cell r="AY29" t="str">
            <v>pMON25496, pMON38850</v>
          </cell>
          <cell r="AZ29" t="str">
            <v>NK603, MON89034</v>
          </cell>
          <cell r="BA29">
            <v>9082958</v>
          </cell>
          <cell r="BB29" t="str">
            <v>I00879561579553267010000</v>
          </cell>
          <cell r="BC29">
            <v>562285</v>
          </cell>
          <cell r="BD29" t="str">
            <v>Other</v>
          </cell>
          <cell r="BE29" t="str">
            <v>FODC1524-TVX-A+HILV1608-XKM-B</v>
          </cell>
          <cell r="BF29" t="str">
            <v>FODC1524</v>
          </cell>
          <cell r="BG29" t="str">
            <v>HILV1608</v>
          </cell>
          <cell r="BH29" t="str">
            <v>FODC1524_HILV1608</v>
          </cell>
          <cell r="BI29">
            <v>6</v>
          </cell>
          <cell r="BJ29">
            <v>6</v>
          </cell>
        </row>
        <row r="30">
          <cell r="A30">
            <v>18585011</v>
          </cell>
          <cell r="B30" t="str">
            <v>White Heath, IL</v>
          </cell>
          <cell r="C30" t="str">
            <v>ILAJ.02</v>
          </cell>
          <cell r="D30" t="str">
            <v>ILAJ.02</v>
          </cell>
          <cell r="E30" t="str">
            <v>WHAJ.RC.UI</v>
          </cell>
          <cell r="F30">
            <v>22488</v>
          </cell>
          <cell r="G30">
            <v>455811</v>
          </cell>
          <cell r="H30" t="str">
            <v>RCO_SBY105-S-EUP L01</v>
          </cell>
          <cell r="I30" t="str">
            <v>Short</v>
          </cell>
          <cell r="J30">
            <v>18585011</v>
          </cell>
          <cell r="K30">
            <v>3</v>
          </cell>
          <cell r="L30">
            <v>3</v>
          </cell>
          <cell r="M30">
            <v>1</v>
          </cell>
          <cell r="O30">
            <v>6</v>
          </cell>
          <cell r="P30">
            <v>7</v>
          </cell>
          <cell r="Q30">
            <v>10311973</v>
          </cell>
          <cell r="R30" t="str">
            <v>internal_seed</v>
          </cell>
          <cell r="S30" t="str">
            <v>experiment</v>
          </cell>
          <cell r="U30" t="str">
            <v>{"entityType":"setEntry","value":"18585011"}</v>
          </cell>
          <cell r="Y30" t="str">
            <v>22 10 27 40 HIKI22MK42B2-18R3_00010_00046_1_@_+</v>
          </cell>
          <cell r="Z30" t="str">
            <v>Stature &amp; Hybrid</v>
          </cell>
          <cell r="AA30" t="str">
            <v>Internal Seed</v>
          </cell>
          <cell r="AB30" t="str">
            <v>01DKD2-ASH-A+JULV1678</v>
          </cell>
          <cell r="AH30" t="str">
            <v>Stature &amp; Hybrid Short</v>
          </cell>
          <cell r="AK30">
            <v>1530672815306720</v>
          </cell>
          <cell r="AL30">
            <v>18585011</v>
          </cell>
          <cell r="AM30">
            <v>5</v>
          </cell>
          <cell r="AN30">
            <v>2412573</v>
          </cell>
          <cell r="AU30" t="str">
            <v>pMON25496,pMON38850</v>
          </cell>
          <cell r="AV30">
            <v>2848997</v>
          </cell>
          <cell r="AW30">
            <v>110120746</v>
          </cell>
          <cell r="AY30" t="str">
            <v>pMON373578</v>
          </cell>
          <cell r="AZ30" t="str">
            <v>ZM_S21773821</v>
          </cell>
          <cell r="BA30">
            <v>10311973</v>
          </cell>
          <cell r="BC30">
            <v>656799</v>
          </cell>
          <cell r="BD30" t="str">
            <v>Other</v>
          </cell>
          <cell r="BE30" t="str">
            <v>01DKD2-ASH-A+JULV1678</v>
          </cell>
          <cell r="BF30" t="str">
            <v>01DKD2</v>
          </cell>
          <cell r="BG30" t="str">
            <v>JULV1678</v>
          </cell>
          <cell r="BH30" t="str">
            <v>01DKD2_JULV1678</v>
          </cell>
          <cell r="BI30">
            <v>6</v>
          </cell>
          <cell r="BJ30">
            <v>7</v>
          </cell>
        </row>
        <row r="31">
          <cell r="A31">
            <v>18585017</v>
          </cell>
          <cell r="B31" t="str">
            <v>White Heath, IL</v>
          </cell>
          <cell r="C31" t="str">
            <v>ILAJ.02</v>
          </cell>
          <cell r="D31" t="str">
            <v>ILAJ.02</v>
          </cell>
          <cell r="E31" t="str">
            <v>WHAJ.RC.UI</v>
          </cell>
          <cell r="F31">
            <v>22488</v>
          </cell>
          <cell r="G31">
            <v>455811</v>
          </cell>
          <cell r="H31" t="str">
            <v>RCO_SBY105-S-EUP L01</v>
          </cell>
          <cell r="I31" t="str">
            <v>Short</v>
          </cell>
          <cell r="J31">
            <v>18585017</v>
          </cell>
          <cell r="K31">
            <v>9</v>
          </cell>
          <cell r="L31">
            <v>3</v>
          </cell>
          <cell r="M31">
            <v>2</v>
          </cell>
          <cell r="O31">
            <v>6</v>
          </cell>
          <cell r="P31">
            <v>8</v>
          </cell>
          <cell r="Q31">
            <v>9082958</v>
          </cell>
          <cell r="R31" t="str">
            <v>internal_seed</v>
          </cell>
          <cell r="S31" t="str">
            <v>experiment</v>
          </cell>
          <cell r="U31" t="str">
            <v>{"entityType":"setEntry","value":"18585017"}</v>
          </cell>
          <cell r="Y31" t="str">
            <v>22 04 27 2C IAWLMJ06_00006_00001_1_@_+</v>
          </cell>
          <cell r="Z31" t="str">
            <v>Stature &amp; Hybrid</v>
          </cell>
          <cell r="AA31" t="str">
            <v>Internal Seed</v>
          </cell>
          <cell r="AB31" t="str">
            <v>FODC1524-TVX-A+HILV1608-XKM-B</v>
          </cell>
          <cell r="AH31" t="str">
            <v>Stature &amp; Hybrid Short</v>
          </cell>
          <cell r="AI31" t="str">
            <v>Internal Seed FODC1524-TVX-A+HILV1608-XKM-B</v>
          </cell>
          <cell r="AK31">
            <v>1530661815306610</v>
          </cell>
          <cell r="AL31">
            <v>18585017</v>
          </cell>
          <cell r="AM31">
            <v>6</v>
          </cell>
          <cell r="AN31">
            <v>2412573</v>
          </cell>
          <cell r="AU31" t="str">
            <v>pMON25496,pMON38850</v>
          </cell>
          <cell r="AV31">
            <v>2848998</v>
          </cell>
          <cell r="AW31">
            <v>110120747</v>
          </cell>
          <cell r="AY31" t="str">
            <v>pMON25496, pMON38850</v>
          </cell>
          <cell r="AZ31" t="str">
            <v>NK603, MON89034</v>
          </cell>
          <cell r="BA31">
            <v>9082958</v>
          </cell>
          <cell r="BB31" t="str">
            <v>I00879561579553267010000</v>
          </cell>
          <cell r="BC31">
            <v>562285</v>
          </cell>
          <cell r="BD31" t="str">
            <v>Other</v>
          </cell>
          <cell r="BE31" t="str">
            <v>FODC1524-TVX-A+HILV1608-XKM-B</v>
          </cell>
          <cell r="BF31" t="str">
            <v>FODC1524</v>
          </cell>
          <cell r="BG31" t="str">
            <v>HILV1608</v>
          </cell>
          <cell r="BH31" t="str">
            <v>FODC1524_HILV1608</v>
          </cell>
          <cell r="BI31">
            <v>6</v>
          </cell>
          <cell r="BJ31">
            <v>8</v>
          </cell>
        </row>
        <row r="32">
          <cell r="A32">
            <v>18585021</v>
          </cell>
          <cell r="B32" t="str">
            <v>White Heath, IL</v>
          </cell>
          <cell r="C32" t="str">
            <v>ILAJ.02</v>
          </cell>
          <cell r="D32" t="str">
            <v>ILAJ.02</v>
          </cell>
          <cell r="E32" t="str">
            <v>WHAJ.RC.UI</v>
          </cell>
          <cell r="F32">
            <v>22488</v>
          </cell>
          <cell r="G32">
            <v>455812</v>
          </cell>
          <cell r="H32" t="str">
            <v>RCO_SBY105-S-EUP L01</v>
          </cell>
          <cell r="I32" t="str">
            <v>Short</v>
          </cell>
          <cell r="J32">
            <v>18585021</v>
          </cell>
          <cell r="K32">
            <v>1</v>
          </cell>
          <cell r="L32">
            <v>1</v>
          </cell>
          <cell r="M32">
            <v>3</v>
          </cell>
          <cell r="O32">
            <v>6</v>
          </cell>
          <cell r="P32">
            <v>11</v>
          </cell>
          <cell r="Q32">
            <v>9038120</v>
          </cell>
          <cell r="R32" t="str">
            <v>internal_seed</v>
          </cell>
          <cell r="S32" t="str">
            <v>experiment</v>
          </cell>
          <cell r="U32" t="str">
            <v>{"entityType":"setEntry","value":"18585021"}</v>
          </cell>
          <cell r="Y32" t="str">
            <v>22 10 27 40 HIKI22MK43C1-18R3_00003_00025_1_@_+</v>
          </cell>
          <cell r="Z32" t="str">
            <v>Stature &amp; Hybrid</v>
          </cell>
          <cell r="AA32" t="str">
            <v>Internal Seed</v>
          </cell>
          <cell r="AB32" t="str">
            <v>01DKD2-ASH-A+80IDM2</v>
          </cell>
          <cell r="AH32" t="str">
            <v>Stature &amp; Hybrid Short-EUP</v>
          </cell>
          <cell r="AI32" t="str">
            <v>Internal Seed 01DKD2-ASH-A+80IDM2</v>
          </cell>
          <cell r="AK32">
            <v>1530672315306720</v>
          </cell>
          <cell r="AL32">
            <v>18585021</v>
          </cell>
          <cell r="AM32">
            <v>1</v>
          </cell>
          <cell r="AN32">
            <v>2412574</v>
          </cell>
          <cell r="AU32" t="str">
            <v>pMON373578</v>
          </cell>
          <cell r="AV32">
            <v>2848999</v>
          </cell>
          <cell r="AW32">
            <v>110120754</v>
          </cell>
          <cell r="AY32" t="str">
            <v>pMON373578</v>
          </cell>
          <cell r="AZ32" t="str">
            <v>ZM_S21773821</v>
          </cell>
          <cell r="BA32">
            <v>9038120</v>
          </cell>
          <cell r="BB32" t="str">
            <v>IJN600000879564198566228</v>
          </cell>
          <cell r="BC32">
            <v>656653</v>
          </cell>
          <cell r="BD32" t="str">
            <v>Other</v>
          </cell>
          <cell r="BE32" t="str">
            <v>01DKD2-ASH-A+80IDM2</v>
          </cell>
          <cell r="BF32" t="str">
            <v>01DKD2</v>
          </cell>
          <cell r="BG32" t="str">
            <v>80IDM2</v>
          </cell>
          <cell r="BH32" t="str">
            <v>01DKD2_80IDM2</v>
          </cell>
          <cell r="BI32">
            <v>6</v>
          </cell>
          <cell r="BJ32">
            <v>11</v>
          </cell>
        </row>
        <row r="33">
          <cell r="A33">
            <v>18585027</v>
          </cell>
          <cell r="B33" t="str">
            <v>White Heath, IL</v>
          </cell>
          <cell r="C33" t="str">
            <v>ILAJ.02</v>
          </cell>
          <cell r="D33" t="str">
            <v>ILAJ.02</v>
          </cell>
          <cell r="E33" t="str">
            <v>WHAJ.RC.UI</v>
          </cell>
          <cell r="F33">
            <v>22488</v>
          </cell>
          <cell r="G33">
            <v>455812</v>
          </cell>
          <cell r="H33" t="str">
            <v>RCO_SBY105-S-EUP L01</v>
          </cell>
          <cell r="I33" t="str">
            <v>Short</v>
          </cell>
          <cell r="J33">
            <v>18585027</v>
          </cell>
          <cell r="K33">
            <v>7</v>
          </cell>
          <cell r="L33">
            <v>1</v>
          </cell>
          <cell r="M33">
            <v>4</v>
          </cell>
          <cell r="O33">
            <v>6</v>
          </cell>
          <cell r="P33">
            <v>12</v>
          </cell>
          <cell r="Q33">
            <v>10303171</v>
          </cell>
          <cell r="R33" t="str">
            <v>internal_seed</v>
          </cell>
          <cell r="S33" t="str">
            <v>experiment</v>
          </cell>
          <cell r="U33" t="str">
            <v>{"entityType":"setEntry","value":"18585027"}</v>
          </cell>
          <cell r="Y33" t="str">
            <v>22 10 27 40 HIKI22MK43C1-18R3_00009_00037_1_@_+</v>
          </cell>
          <cell r="Z33" t="str">
            <v>Stature &amp; Hybrid</v>
          </cell>
          <cell r="AA33" t="str">
            <v>Internal Seed</v>
          </cell>
          <cell r="AB33" t="str">
            <v>01DKD2-ASH-A+FOLV1561</v>
          </cell>
          <cell r="AH33" t="str">
            <v>Stature &amp; Hybrid Short-EUP</v>
          </cell>
          <cell r="AI33" t="str">
            <v>Internal Seed 01DKD2-ASH-A+FOLV1561</v>
          </cell>
          <cell r="AK33">
            <v>1530676215306760</v>
          </cell>
          <cell r="AL33">
            <v>18585027</v>
          </cell>
          <cell r="AM33">
            <v>2</v>
          </cell>
          <cell r="AN33">
            <v>2412574</v>
          </cell>
          <cell r="AU33" t="str">
            <v>pMON373578</v>
          </cell>
          <cell r="AV33">
            <v>2849000</v>
          </cell>
          <cell r="AW33">
            <v>110120755</v>
          </cell>
          <cell r="AY33" t="str">
            <v>pMON373578</v>
          </cell>
          <cell r="AZ33" t="str">
            <v>ZM_S21773821</v>
          </cell>
          <cell r="BA33">
            <v>10303171</v>
          </cell>
          <cell r="BB33" t="str">
            <v>IJN600000879564198566244</v>
          </cell>
          <cell r="BC33">
            <v>656725</v>
          </cell>
          <cell r="BD33" t="str">
            <v>Other</v>
          </cell>
          <cell r="BE33" t="str">
            <v>01DKD2-ASH-A+FOLV1561</v>
          </cell>
          <cell r="BF33" t="str">
            <v>01DKD2</v>
          </cell>
          <cell r="BG33" t="str">
            <v>FOLV1561</v>
          </cell>
          <cell r="BH33" t="str">
            <v>01DKD2_FOLV1561</v>
          </cell>
          <cell r="BI33">
            <v>6</v>
          </cell>
          <cell r="BJ33">
            <v>12</v>
          </cell>
        </row>
        <row r="34">
          <cell r="A34">
            <v>18585022</v>
          </cell>
          <cell r="B34" t="str">
            <v>White Heath, IL</v>
          </cell>
          <cell r="C34" t="str">
            <v>ILAJ.02</v>
          </cell>
          <cell r="D34" t="str">
            <v>ILAJ.02</v>
          </cell>
          <cell r="E34" t="str">
            <v>WHAJ.RC.UI</v>
          </cell>
          <cell r="F34">
            <v>22488</v>
          </cell>
          <cell r="G34">
            <v>455812</v>
          </cell>
          <cell r="H34" t="str">
            <v>RCO_SBY105-S-EUP L01</v>
          </cell>
          <cell r="I34" t="str">
            <v>Short</v>
          </cell>
          <cell r="J34">
            <v>18585022</v>
          </cell>
          <cell r="K34">
            <v>2</v>
          </cell>
          <cell r="L34">
            <v>2</v>
          </cell>
          <cell r="M34">
            <v>3</v>
          </cell>
          <cell r="O34">
            <v>6</v>
          </cell>
          <cell r="P34">
            <v>13</v>
          </cell>
          <cell r="Q34">
            <v>9038120</v>
          </cell>
          <cell r="R34" t="str">
            <v>internal_seed</v>
          </cell>
          <cell r="S34" t="str">
            <v>experiment</v>
          </cell>
          <cell r="U34" t="str">
            <v>{"entityType":"setEntry","value":"18585022"}</v>
          </cell>
          <cell r="Y34" t="str">
            <v>22 10 27 40 HIKI22MK43C1-18R3_00003_00025_1_@_+</v>
          </cell>
          <cell r="Z34" t="str">
            <v>Stature &amp; Hybrid</v>
          </cell>
          <cell r="AA34" t="str">
            <v>Internal Seed</v>
          </cell>
          <cell r="AB34" t="str">
            <v>01DKD2-ASH-A+80IDM2</v>
          </cell>
          <cell r="AH34" t="str">
            <v>Stature &amp; Hybrid Short-EUP</v>
          </cell>
          <cell r="AI34" t="str">
            <v>Internal Seed 01DKD2-ASH-A+80IDM2</v>
          </cell>
          <cell r="AK34">
            <v>1530672615306750</v>
          </cell>
          <cell r="AL34">
            <v>18585022</v>
          </cell>
          <cell r="AM34">
            <v>3</v>
          </cell>
          <cell r="AN34">
            <v>2412574</v>
          </cell>
          <cell r="AU34" t="str">
            <v>pMON373578</v>
          </cell>
          <cell r="AV34">
            <v>2848999</v>
          </cell>
          <cell r="AW34">
            <v>110120756</v>
          </cell>
          <cell r="AY34" t="str">
            <v>pMON373578</v>
          </cell>
          <cell r="AZ34" t="str">
            <v>ZM_S21773821</v>
          </cell>
          <cell r="BA34">
            <v>9038120</v>
          </cell>
          <cell r="BB34" t="str">
            <v>IJN600000879564198566228</v>
          </cell>
          <cell r="BC34">
            <v>656653</v>
          </cell>
          <cell r="BD34" t="str">
            <v>Other</v>
          </cell>
          <cell r="BE34" t="str">
            <v>01DKD2-ASH-A+80IDM2</v>
          </cell>
          <cell r="BF34" t="str">
            <v>01DKD2</v>
          </cell>
          <cell r="BG34" t="str">
            <v>80IDM2</v>
          </cell>
          <cell r="BH34" t="str">
            <v>01DKD2_80IDM2</v>
          </cell>
          <cell r="BI34">
            <v>6</v>
          </cell>
          <cell r="BJ34">
            <v>13</v>
          </cell>
        </row>
        <row r="35">
          <cell r="A35">
            <v>18585028</v>
          </cell>
          <cell r="B35" t="str">
            <v>White Heath, IL</v>
          </cell>
          <cell r="C35" t="str">
            <v>ILAJ.02</v>
          </cell>
          <cell r="D35" t="str">
            <v>ILAJ.02</v>
          </cell>
          <cell r="E35" t="str">
            <v>WHAJ.RC.UI</v>
          </cell>
          <cell r="F35">
            <v>22488</v>
          </cell>
          <cell r="G35">
            <v>455812</v>
          </cell>
          <cell r="H35" t="str">
            <v>RCO_SBY105-S-EUP L01</v>
          </cell>
          <cell r="I35" t="str">
            <v>Short</v>
          </cell>
          <cell r="J35">
            <v>18585028</v>
          </cell>
          <cell r="K35">
            <v>8</v>
          </cell>
          <cell r="L35">
            <v>2</v>
          </cell>
          <cell r="M35">
            <v>4</v>
          </cell>
          <cell r="O35">
            <v>6</v>
          </cell>
          <cell r="P35">
            <v>14</v>
          </cell>
          <cell r="Q35">
            <v>10303171</v>
          </cell>
          <cell r="R35" t="str">
            <v>internal_seed</v>
          </cell>
          <cell r="S35" t="str">
            <v>experiment</v>
          </cell>
          <cell r="U35" t="str">
            <v>{"entityType":"setEntry","value":"18585028"}</v>
          </cell>
          <cell r="Y35" t="str">
            <v>22 10 27 40 HIKI22MK43C1-18R3_00009_00037_1_@_+</v>
          </cell>
          <cell r="Z35" t="str">
            <v>Stature &amp; Hybrid</v>
          </cell>
          <cell r="AA35" t="str">
            <v>Internal Seed</v>
          </cell>
          <cell r="AB35" t="str">
            <v>01DKD2-ASH-A+FOLV1561</v>
          </cell>
          <cell r="AH35" t="str">
            <v>Stature &amp; Hybrid Short-EUP</v>
          </cell>
          <cell r="AI35" t="str">
            <v>Internal Seed 01DKD2-ASH-A+FOLV1561</v>
          </cell>
          <cell r="AK35">
            <v>1530676515306760</v>
          </cell>
          <cell r="AL35">
            <v>18585028</v>
          </cell>
          <cell r="AM35">
            <v>4</v>
          </cell>
          <cell r="AN35">
            <v>2412574</v>
          </cell>
          <cell r="AU35" t="str">
            <v>pMON373578</v>
          </cell>
          <cell r="AV35">
            <v>2849000</v>
          </cell>
          <cell r="AW35">
            <v>110120757</v>
          </cell>
          <cell r="AY35" t="str">
            <v>pMON373578</v>
          </cell>
          <cell r="AZ35" t="str">
            <v>ZM_S21773821</v>
          </cell>
          <cell r="BA35">
            <v>10303171</v>
          </cell>
          <cell r="BB35" t="str">
            <v>IJN600000879564198566244</v>
          </cell>
          <cell r="BC35">
            <v>656725</v>
          </cell>
          <cell r="BD35" t="str">
            <v>Other</v>
          </cell>
          <cell r="BE35" t="str">
            <v>01DKD2-ASH-A+FOLV1561</v>
          </cell>
          <cell r="BF35" t="str">
            <v>01DKD2</v>
          </cell>
          <cell r="BG35" t="str">
            <v>FOLV1561</v>
          </cell>
          <cell r="BH35" t="str">
            <v>01DKD2_FOLV1561</v>
          </cell>
          <cell r="BI35">
            <v>6</v>
          </cell>
          <cell r="BJ35">
            <v>14</v>
          </cell>
        </row>
        <row r="36">
          <cell r="A36">
            <v>18585023</v>
          </cell>
          <cell r="B36" t="str">
            <v>White Heath, IL</v>
          </cell>
          <cell r="C36" t="str">
            <v>ILAJ.02</v>
          </cell>
          <cell r="D36" t="str">
            <v>ILAJ.02</v>
          </cell>
          <cell r="E36" t="str">
            <v>WHAJ.RC.UI</v>
          </cell>
          <cell r="F36">
            <v>22488</v>
          </cell>
          <cell r="G36">
            <v>455812</v>
          </cell>
          <cell r="H36" t="str">
            <v>RCO_SBY105-S-EUP L01</v>
          </cell>
          <cell r="I36" t="str">
            <v>Short</v>
          </cell>
          <cell r="J36">
            <v>18585023</v>
          </cell>
          <cell r="K36">
            <v>3</v>
          </cell>
          <cell r="L36">
            <v>3</v>
          </cell>
          <cell r="M36">
            <v>3</v>
          </cell>
          <cell r="O36">
            <v>6</v>
          </cell>
          <cell r="P36">
            <v>15</v>
          </cell>
          <cell r="Q36">
            <v>9038120</v>
          </cell>
          <cell r="R36" t="str">
            <v>internal_seed</v>
          </cell>
          <cell r="S36" t="str">
            <v>experiment</v>
          </cell>
          <cell r="U36" t="str">
            <v>{"entityType":"setEntry","value":"18585023"}</v>
          </cell>
          <cell r="Y36" t="str">
            <v>22 10 27 40 HIKI22MK43C1-18R3_00003_00025_1_@_+</v>
          </cell>
          <cell r="Z36" t="str">
            <v>Stature &amp; Hybrid</v>
          </cell>
          <cell r="AA36" t="str">
            <v>Internal Seed</v>
          </cell>
          <cell r="AB36" t="str">
            <v>01DKD2-ASH-A+80IDM2</v>
          </cell>
          <cell r="AH36" t="str">
            <v>Stature &amp; Hybrid Short-EUP</v>
          </cell>
          <cell r="AI36" t="str">
            <v>Internal Seed 01DKD2-ASH-A+80IDM2</v>
          </cell>
          <cell r="AK36">
            <v>1530675615306750</v>
          </cell>
          <cell r="AL36">
            <v>18585023</v>
          </cell>
          <cell r="AM36">
            <v>5</v>
          </cell>
          <cell r="AN36">
            <v>2412574</v>
          </cell>
          <cell r="AU36" t="str">
            <v>pMON373578</v>
          </cell>
          <cell r="AV36">
            <v>2848999</v>
          </cell>
          <cell r="AW36">
            <v>110120758</v>
          </cell>
          <cell r="AY36" t="str">
            <v>pMON373578</v>
          </cell>
          <cell r="AZ36" t="str">
            <v>ZM_S21773821</v>
          </cell>
          <cell r="BA36">
            <v>9038120</v>
          </cell>
          <cell r="BB36" t="str">
            <v>IJN600000879564198566228</v>
          </cell>
          <cell r="BC36">
            <v>656653</v>
          </cell>
          <cell r="BD36" t="str">
            <v>Other</v>
          </cell>
          <cell r="BE36" t="str">
            <v>01DKD2-ASH-A+80IDM2</v>
          </cell>
          <cell r="BF36" t="str">
            <v>01DKD2</v>
          </cell>
          <cell r="BG36" t="str">
            <v>80IDM2</v>
          </cell>
          <cell r="BH36" t="str">
            <v>01DKD2_80IDM2</v>
          </cell>
          <cell r="BI36">
            <v>6</v>
          </cell>
          <cell r="BJ36">
            <v>15</v>
          </cell>
        </row>
        <row r="37">
          <cell r="A37">
            <v>18585029</v>
          </cell>
          <cell r="B37" t="str">
            <v>White Heath, IL</v>
          </cell>
          <cell r="C37" t="str">
            <v>ILAJ.02</v>
          </cell>
          <cell r="D37" t="str">
            <v>ILAJ.02</v>
          </cell>
          <cell r="E37" t="str">
            <v>WHAJ.RC.UI</v>
          </cell>
          <cell r="F37">
            <v>22488</v>
          </cell>
          <cell r="G37">
            <v>455812</v>
          </cell>
          <cell r="H37" t="str">
            <v>RCO_SBY105-S-EUP L01</v>
          </cell>
          <cell r="I37" t="str">
            <v>Short</v>
          </cell>
          <cell r="J37">
            <v>18585029</v>
          </cell>
          <cell r="K37">
            <v>9</v>
          </cell>
          <cell r="L37">
            <v>3</v>
          </cell>
          <cell r="M37">
            <v>4</v>
          </cell>
          <cell r="O37">
            <v>6</v>
          </cell>
          <cell r="P37">
            <v>16</v>
          </cell>
          <cell r="Q37">
            <v>10303171</v>
          </cell>
          <cell r="R37" t="str">
            <v>internal_seed</v>
          </cell>
          <cell r="S37" t="str">
            <v>experiment</v>
          </cell>
          <cell r="U37" t="str">
            <v>{"entityType":"setEntry","value":"18585029"}</v>
          </cell>
          <cell r="Y37" t="str">
            <v>22 10 27 40 HIKI22MK43C1-18R3_00009_00037_1_@_+</v>
          </cell>
          <cell r="Z37" t="str">
            <v>Stature &amp; Hybrid</v>
          </cell>
          <cell r="AA37" t="str">
            <v>Internal Seed</v>
          </cell>
          <cell r="AB37" t="str">
            <v>01DKD2-ASH-A+FOLV1561</v>
          </cell>
          <cell r="AH37" t="str">
            <v>Stature &amp; Hybrid Short-EUP</v>
          </cell>
          <cell r="AI37" t="str">
            <v>Internal Seed 01DKD2-ASH-A+FOLV1561</v>
          </cell>
          <cell r="AK37">
            <v>1530677015306760</v>
          </cell>
          <cell r="AL37">
            <v>18585029</v>
          </cell>
          <cell r="AM37">
            <v>6</v>
          </cell>
          <cell r="AN37">
            <v>2412574</v>
          </cell>
          <cell r="AU37" t="str">
            <v>pMON373578</v>
          </cell>
          <cell r="AV37">
            <v>2849000</v>
          </cell>
          <cell r="AW37">
            <v>110120759</v>
          </cell>
          <cell r="AY37" t="str">
            <v>pMON373578</v>
          </cell>
          <cell r="AZ37" t="str">
            <v>ZM_S21773821</v>
          </cell>
          <cell r="BA37">
            <v>10303171</v>
          </cell>
          <cell r="BB37" t="str">
            <v>IJN600000879564198566244</v>
          </cell>
          <cell r="BC37">
            <v>656725</v>
          </cell>
          <cell r="BD37" t="str">
            <v>Other</v>
          </cell>
          <cell r="BE37" t="str">
            <v>01DKD2-ASH-A+FOLV1561</v>
          </cell>
          <cell r="BF37" t="str">
            <v>01DKD2</v>
          </cell>
          <cell r="BG37" t="str">
            <v>FOLV1561</v>
          </cell>
          <cell r="BH37" t="str">
            <v>01DKD2_FOLV1561</v>
          </cell>
          <cell r="BI37">
            <v>6</v>
          </cell>
          <cell r="BJ37">
            <v>16</v>
          </cell>
        </row>
        <row r="38">
          <cell r="A38">
            <v>18585020</v>
          </cell>
          <cell r="B38" t="str">
            <v>White Heath, IL</v>
          </cell>
          <cell r="C38" t="str">
            <v>ILAJ.02</v>
          </cell>
          <cell r="D38" t="str">
            <v>ILAJ.02</v>
          </cell>
          <cell r="E38" t="str">
            <v>WHAJ.RC.UI</v>
          </cell>
          <cell r="F38">
            <v>22488</v>
          </cell>
          <cell r="G38">
            <v>455811</v>
          </cell>
          <cell r="H38" t="str">
            <v>RCO_SBY105-S-EUP L01</v>
          </cell>
          <cell r="I38" t="str">
            <v>Short</v>
          </cell>
          <cell r="J38">
            <v>18585020</v>
          </cell>
          <cell r="K38">
            <v>12</v>
          </cell>
          <cell r="L38">
            <v>6</v>
          </cell>
          <cell r="M38">
            <v>2</v>
          </cell>
          <cell r="O38">
            <v>7</v>
          </cell>
          <cell r="P38">
            <v>3</v>
          </cell>
          <cell r="Q38">
            <v>9082958</v>
          </cell>
          <cell r="R38" t="str">
            <v>internal_seed</v>
          </cell>
          <cell r="S38" t="str">
            <v>experiment</v>
          </cell>
          <cell r="U38" t="str">
            <v>{"entityType":"setEntry","value":"18585020"}</v>
          </cell>
          <cell r="Y38" t="str">
            <v>22 04 27 2C IAWLMJ06_00006_00001_1_@_+</v>
          </cell>
          <cell r="Z38" t="str">
            <v>Stature &amp; Hybrid</v>
          </cell>
          <cell r="AA38" t="str">
            <v>Internal Seed</v>
          </cell>
          <cell r="AB38" t="str">
            <v>FODC1524-TVX-A+HILV1608-XKM-B</v>
          </cell>
          <cell r="AH38" t="str">
            <v>Stature &amp; Hybrid Short</v>
          </cell>
          <cell r="AI38" t="str">
            <v>Internal Seed FODC1524-TVX-A+HILV1608-XKM-B</v>
          </cell>
          <cell r="AK38">
            <v>1530660815306600</v>
          </cell>
          <cell r="AL38">
            <v>18585020</v>
          </cell>
          <cell r="AM38">
            <v>12</v>
          </cell>
          <cell r="AN38">
            <v>2412573</v>
          </cell>
          <cell r="AU38" t="str">
            <v>pMON25496,pMON38850</v>
          </cell>
          <cell r="AV38">
            <v>2848998</v>
          </cell>
          <cell r="AW38">
            <v>110120753</v>
          </cell>
          <cell r="AY38" t="str">
            <v>pMON25496, pMON38850</v>
          </cell>
          <cell r="AZ38" t="str">
            <v>NK603, MON89034</v>
          </cell>
          <cell r="BA38">
            <v>9082958</v>
          </cell>
          <cell r="BB38" t="str">
            <v>I00879561579553267010000</v>
          </cell>
          <cell r="BC38">
            <v>562285</v>
          </cell>
          <cell r="BD38" t="str">
            <v>Other</v>
          </cell>
          <cell r="BE38" t="str">
            <v>FODC1524-TVX-A+HILV1608-XKM-B</v>
          </cell>
          <cell r="BF38" t="str">
            <v>FODC1524</v>
          </cell>
          <cell r="BG38" t="str">
            <v>HILV1608</v>
          </cell>
          <cell r="BH38" t="str">
            <v>FODC1524_HILV1608</v>
          </cell>
          <cell r="BI38">
            <v>7</v>
          </cell>
          <cell r="BJ38">
            <v>3</v>
          </cell>
        </row>
        <row r="39">
          <cell r="A39">
            <v>18585014</v>
          </cell>
          <cell r="B39" t="str">
            <v>White Heath, IL</v>
          </cell>
          <cell r="C39" t="str">
            <v>ILAJ.02</v>
          </cell>
          <cell r="D39" t="str">
            <v>ILAJ.02</v>
          </cell>
          <cell r="E39" t="str">
            <v>WHAJ.RC.UI</v>
          </cell>
          <cell r="F39">
            <v>22488</v>
          </cell>
          <cell r="G39">
            <v>455811</v>
          </cell>
          <cell r="H39" t="str">
            <v>RCO_SBY105-S-EUP L01</v>
          </cell>
          <cell r="I39" t="str">
            <v>Short</v>
          </cell>
          <cell r="J39">
            <v>18585014</v>
          </cell>
          <cell r="K39">
            <v>6</v>
          </cell>
          <cell r="L39">
            <v>6</v>
          </cell>
          <cell r="M39">
            <v>1</v>
          </cell>
          <cell r="O39">
            <v>7</v>
          </cell>
          <cell r="P39">
            <v>4</v>
          </cell>
          <cell r="Q39">
            <v>10311973</v>
          </cell>
          <cell r="R39" t="str">
            <v>internal_seed</v>
          </cell>
          <cell r="S39" t="str">
            <v>experiment</v>
          </cell>
          <cell r="U39" t="str">
            <v>{"entityType":"setEntry","value":"18585014"}</v>
          </cell>
          <cell r="Y39" t="str">
            <v>22 10 27 40 HIKI22MK42B2-18R3_00010_00046_1_@_+</v>
          </cell>
          <cell r="Z39" t="str">
            <v>Stature &amp; Hybrid</v>
          </cell>
          <cell r="AA39" t="str">
            <v>Internal Seed</v>
          </cell>
          <cell r="AB39" t="str">
            <v>01DKD2-ASH-A+JULV1678</v>
          </cell>
          <cell r="AH39" t="str">
            <v>Stature &amp; Hybrid Short</v>
          </cell>
          <cell r="AK39">
            <v>1530662315306620</v>
          </cell>
          <cell r="AL39">
            <v>18585014</v>
          </cell>
          <cell r="AM39">
            <v>11</v>
          </cell>
          <cell r="AN39">
            <v>2412573</v>
          </cell>
          <cell r="AU39" t="str">
            <v>pMON25496,pMON38850</v>
          </cell>
          <cell r="AV39">
            <v>2848997</v>
          </cell>
          <cell r="AW39">
            <v>110120752</v>
          </cell>
          <cell r="AY39" t="str">
            <v>pMON373578</v>
          </cell>
          <cell r="AZ39" t="str">
            <v>ZM_S21773821</v>
          </cell>
          <cell r="BA39">
            <v>10311973</v>
          </cell>
          <cell r="BC39">
            <v>656799</v>
          </cell>
          <cell r="BD39" t="str">
            <v>Other</v>
          </cell>
          <cell r="BE39" t="str">
            <v>01DKD2-ASH-A+JULV1678</v>
          </cell>
          <cell r="BF39" t="str">
            <v>01DKD2</v>
          </cell>
          <cell r="BG39" t="str">
            <v>JULV1678</v>
          </cell>
          <cell r="BH39" t="str">
            <v>01DKD2_JULV1678</v>
          </cell>
          <cell r="BI39">
            <v>7</v>
          </cell>
          <cell r="BJ39">
            <v>4</v>
          </cell>
        </row>
        <row r="40">
          <cell r="A40">
            <v>18585019</v>
          </cell>
          <cell r="B40" t="str">
            <v>White Heath, IL</v>
          </cell>
          <cell r="C40" t="str">
            <v>ILAJ.02</v>
          </cell>
          <cell r="D40" t="str">
            <v>ILAJ.02</v>
          </cell>
          <cell r="E40" t="str">
            <v>WHAJ.RC.UI</v>
          </cell>
          <cell r="F40">
            <v>22488</v>
          </cell>
          <cell r="G40">
            <v>455811</v>
          </cell>
          <cell r="H40" t="str">
            <v>RCO_SBY105-S-EUP L01</v>
          </cell>
          <cell r="I40" t="str">
            <v>Short</v>
          </cell>
          <cell r="J40">
            <v>18585019</v>
          </cell>
          <cell r="K40">
            <v>11</v>
          </cell>
          <cell r="L40">
            <v>5</v>
          </cell>
          <cell r="M40">
            <v>2</v>
          </cell>
          <cell r="O40">
            <v>7</v>
          </cell>
          <cell r="P40">
            <v>5</v>
          </cell>
          <cell r="Q40">
            <v>9082958</v>
          </cell>
          <cell r="R40" t="str">
            <v>internal_seed</v>
          </cell>
          <cell r="S40" t="str">
            <v>experiment</v>
          </cell>
          <cell r="U40" t="str">
            <v>{"entityType":"setEntry","value":"18585019"}</v>
          </cell>
          <cell r="Y40" t="str">
            <v>22 04 27 2C IAWLMJ06_00006_00001_1_@_+</v>
          </cell>
          <cell r="Z40" t="str">
            <v>Stature &amp; Hybrid</v>
          </cell>
          <cell r="AA40" t="str">
            <v>Internal Seed</v>
          </cell>
          <cell r="AB40" t="str">
            <v>FODC1524-TVX-A+HILV1608-XKM-B</v>
          </cell>
          <cell r="AH40" t="str">
            <v>Stature &amp; Hybrid Short</v>
          </cell>
          <cell r="AI40" t="str">
            <v>Internal Seed FODC1524-TVX-A+HILV1608-XKM-B</v>
          </cell>
          <cell r="AK40">
            <v>1530661315306610</v>
          </cell>
          <cell r="AL40">
            <v>18585019</v>
          </cell>
          <cell r="AM40">
            <v>10</v>
          </cell>
          <cell r="AN40">
            <v>2412573</v>
          </cell>
          <cell r="AU40" t="str">
            <v>pMON25496,pMON38850</v>
          </cell>
          <cell r="AV40">
            <v>2848998</v>
          </cell>
          <cell r="AW40">
            <v>110120751</v>
          </cell>
          <cell r="AY40" t="str">
            <v>pMON25496, pMON38850</v>
          </cell>
          <cell r="AZ40" t="str">
            <v>NK603, MON89034</v>
          </cell>
          <cell r="BA40">
            <v>9082958</v>
          </cell>
          <cell r="BB40" t="str">
            <v>I00879561579553267010000</v>
          </cell>
          <cell r="BC40">
            <v>562285</v>
          </cell>
          <cell r="BD40" t="str">
            <v>Other</v>
          </cell>
          <cell r="BE40" t="str">
            <v>FODC1524-TVX-A+HILV1608-XKM-B</v>
          </cell>
          <cell r="BF40" t="str">
            <v>FODC1524</v>
          </cell>
          <cell r="BG40" t="str">
            <v>HILV1608</v>
          </cell>
          <cell r="BH40" t="str">
            <v>FODC1524_HILV1608</v>
          </cell>
          <cell r="BI40">
            <v>7</v>
          </cell>
          <cell r="BJ40">
            <v>5</v>
          </cell>
        </row>
        <row r="41">
          <cell r="A41">
            <v>18585013</v>
          </cell>
          <cell r="B41" t="str">
            <v>White Heath, IL</v>
          </cell>
          <cell r="C41" t="str">
            <v>ILAJ.02</v>
          </cell>
          <cell r="D41" t="str">
            <v>ILAJ.02</v>
          </cell>
          <cell r="E41" t="str">
            <v>WHAJ.RC.UI</v>
          </cell>
          <cell r="F41">
            <v>22488</v>
          </cell>
          <cell r="G41">
            <v>455811</v>
          </cell>
          <cell r="H41" t="str">
            <v>RCO_SBY105-S-EUP L01</v>
          </cell>
          <cell r="I41" t="str">
            <v>Short</v>
          </cell>
          <cell r="J41">
            <v>18585013</v>
          </cell>
          <cell r="K41">
            <v>5</v>
          </cell>
          <cell r="L41">
            <v>5</v>
          </cell>
          <cell r="M41">
            <v>1</v>
          </cell>
          <cell r="O41">
            <v>7</v>
          </cell>
          <cell r="P41">
            <v>6</v>
          </cell>
          <cell r="Q41">
            <v>10311973</v>
          </cell>
          <cell r="R41" t="str">
            <v>internal_seed</v>
          </cell>
          <cell r="S41" t="str">
            <v>experiment</v>
          </cell>
          <cell r="U41" t="str">
            <v>{"entityType":"setEntry","value":"18585013"}</v>
          </cell>
          <cell r="Y41" t="str">
            <v>22 10 27 40 HIKI22MK42B2-18R3_00010_00046_1_@_+</v>
          </cell>
          <cell r="Z41" t="str">
            <v>Stature &amp; Hybrid</v>
          </cell>
          <cell r="AA41" t="str">
            <v>Internal Seed</v>
          </cell>
          <cell r="AB41" t="str">
            <v>01DKD2-ASH-A+JULV1678</v>
          </cell>
          <cell r="AH41" t="str">
            <v>Stature &amp; Hybrid Short</v>
          </cell>
          <cell r="AK41">
            <v>1530672715306620</v>
          </cell>
          <cell r="AL41">
            <v>18585013</v>
          </cell>
          <cell r="AM41">
            <v>9</v>
          </cell>
          <cell r="AN41">
            <v>2412573</v>
          </cell>
          <cell r="AU41" t="str">
            <v>pMON25496,pMON38850</v>
          </cell>
          <cell r="AV41">
            <v>2848997</v>
          </cell>
          <cell r="AW41">
            <v>110120750</v>
          </cell>
          <cell r="AY41" t="str">
            <v>pMON373578</v>
          </cell>
          <cell r="AZ41" t="str">
            <v>ZM_S21773821</v>
          </cell>
          <cell r="BA41">
            <v>10311973</v>
          </cell>
          <cell r="BC41">
            <v>656799</v>
          </cell>
          <cell r="BD41" t="str">
            <v>Other</v>
          </cell>
          <cell r="BE41" t="str">
            <v>01DKD2-ASH-A+JULV1678</v>
          </cell>
          <cell r="BF41" t="str">
            <v>01DKD2</v>
          </cell>
          <cell r="BG41" t="str">
            <v>JULV1678</v>
          </cell>
          <cell r="BH41" t="str">
            <v>01DKD2_JULV1678</v>
          </cell>
          <cell r="BI41">
            <v>7</v>
          </cell>
          <cell r="BJ41">
            <v>6</v>
          </cell>
        </row>
        <row r="42">
          <cell r="A42">
            <v>18585018</v>
          </cell>
          <cell r="B42" t="str">
            <v>White Heath, IL</v>
          </cell>
          <cell r="C42" t="str">
            <v>ILAJ.02</v>
          </cell>
          <cell r="D42" t="str">
            <v>ILAJ.02</v>
          </cell>
          <cell r="E42" t="str">
            <v>WHAJ.RC.UI</v>
          </cell>
          <cell r="F42">
            <v>22488</v>
          </cell>
          <cell r="G42">
            <v>455811</v>
          </cell>
          <cell r="H42" t="str">
            <v>RCO_SBY105-S-EUP L01</v>
          </cell>
          <cell r="I42" t="str">
            <v>Short</v>
          </cell>
          <cell r="J42">
            <v>18585018</v>
          </cell>
          <cell r="K42">
            <v>10</v>
          </cell>
          <cell r="L42">
            <v>4</v>
          </cell>
          <cell r="M42">
            <v>2</v>
          </cell>
          <cell r="O42">
            <v>7</v>
          </cell>
          <cell r="P42">
            <v>7</v>
          </cell>
          <cell r="Q42">
            <v>9082958</v>
          </cell>
          <cell r="R42" t="str">
            <v>internal_seed</v>
          </cell>
          <cell r="S42" t="str">
            <v>experiment</v>
          </cell>
          <cell r="U42" t="str">
            <v>{"entityType":"setEntry","value":"18585018"}</v>
          </cell>
          <cell r="Y42" t="str">
            <v>22 04 27 2C IAWLMJ06_00006_00001_1_@_+</v>
          </cell>
          <cell r="Z42" t="str">
            <v>Stature &amp; Hybrid</v>
          </cell>
          <cell r="AA42" t="str">
            <v>Internal Seed</v>
          </cell>
          <cell r="AB42" t="str">
            <v>FODC1524-TVX-A+HILV1608-XKM-B</v>
          </cell>
          <cell r="AH42" t="str">
            <v>Stature &amp; Hybrid Short</v>
          </cell>
          <cell r="AI42" t="str">
            <v>Internal Seed FODC1524-TVX-A+HILV1608-XKM-B</v>
          </cell>
          <cell r="AK42">
            <v>1530661615306610</v>
          </cell>
          <cell r="AL42">
            <v>18585018</v>
          </cell>
          <cell r="AM42">
            <v>8</v>
          </cell>
          <cell r="AN42">
            <v>2412573</v>
          </cell>
          <cell r="AU42" t="str">
            <v>pMON25496,pMON38850</v>
          </cell>
          <cell r="AV42">
            <v>2848998</v>
          </cell>
          <cell r="AW42">
            <v>110120749</v>
          </cell>
          <cell r="AY42" t="str">
            <v>pMON25496, pMON38850</v>
          </cell>
          <cell r="AZ42" t="str">
            <v>NK603, MON89034</v>
          </cell>
          <cell r="BA42">
            <v>9082958</v>
          </cell>
          <cell r="BB42" t="str">
            <v>I00879561579553267010000</v>
          </cell>
          <cell r="BC42">
            <v>562285</v>
          </cell>
          <cell r="BD42" t="str">
            <v>Other</v>
          </cell>
          <cell r="BE42" t="str">
            <v>FODC1524-TVX-A+HILV1608-XKM-B</v>
          </cell>
          <cell r="BF42" t="str">
            <v>FODC1524</v>
          </cell>
          <cell r="BG42" t="str">
            <v>HILV1608</v>
          </cell>
          <cell r="BH42" t="str">
            <v>FODC1524_HILV1608</v>
          </cell>
          <cell r="BI42">
            <v>7</v>
          </cell>
          <cell r="BJ42">
            <v>7</v>
          </cell>
        </row>
        <row r="43">
          <cell r="A43">
            <v>18585012</v>
          </cell>
          <cell r="B43" t="str">
            <v>White Heath, IL</v>
          </cell>
          <cell r="C43" t="str">
            <v>ILAJ.02</v>
          </cell>
          <cell r="D43" t="str">
            <v>ILAJ.02</v>
          </cell>
          <cell r="E43" t="str">
            <v>WHAJ.RC.UI</v>
          </cell>
          <cell r="F43">
            <v>22488</v>
          </cell>
          <cell r="G43">
            <v>455811</v>
          </cell>
          <cell r="H43" t="str">
            <v>RCO_SBY105-S-EUP L01</v>
          </cell>
          <cell r="I43" t="str">
            <v>Short</v>
          </cell>
          <cell r="J43">
            <v>18585012</v>
          </cell>
          <cell r="K43">
            <v>4</v>
          </cell>
          <cell r="L43">
            <v>4</v>
          </cell>
          <cell r="M43">
            <v>1</v>
          </cell>
          <cell r="O43">
            <v>7</v>
          </cell>
          <cell r="P43">
            <v>8</v>
          </cell>
          <cell r="Q43">
            <v>10311973</v>
          </cell>
          <cell r="R43" t="str">
            <v>internal_seed</v>
          </cell>
          <cell r="S43" t="str">
            <v>experiment</v>
          </cell>
          <cell r="U43" t="str">
            <v>{"entityType":"setEntry","value":"18585012"}</v>
          </cell>
          <cell r="Y43" t="str">
            <v>22 10 27 40 HIKI22MK42B2-18R3_00010_00046_1_@_+</v>
          </cell>
          <cell r="Z43" t="str">
            <v>Stature &amp; Hybrid</v>
          </cell>
          <cell r="AA43" t="str">
            <v>Internal Seed</v>
          </cell>
          <cell r="AB43" t="str">
            <v>01DKD2-ASH-A+JULV1678</v>
          </cell>
          <cell r="AH43" t="str">
            <v>Stature &amp; Hybrid Short</v>
          </cell>
          <cell r="AK43">
            <v>1530673015306730</v>
          </cell>
          <cell r="AL43">
            <v>18585012</v>
          </cell>
          <cell r="AM43">
            <v>7</v>
          </cell>
          <cell r="AN43">
            <v>2412573</v>
          </cell>
          <cell r="AU43" t="str">
            <v>pMON25496,pMON38850</v>
          </cell>
          <cell r="AV43">
            <v>2848997</v>
          </cell>
          <cell r="AW43">
            <v>110120748</v>
          </cell>
          <cell r="AY43" t="str">
            <v>pMON373578</v>
          </cell>
          <cell r="AZ43" t="str">
            <v>ZM_S21773821</v>
          </cell>
          <cell r="BA43">
            <v>10311973</v>
          </cell>
          <cell r="BC43">
            <v>656799</v>
          </cell>
          <cell r="BD43" t="str">
            <v>Other</v>
          </cell>
          <cell r="BE43" t="str">
            <v>01DKD2-ASH-A+JULV1678</v>
          </cell>
          <cell r="BF43" t="str">
            <v>01DKD2</v>
          </cell>
          <cell r="BG43" t="str">
            <v>JULV1678</v>
          </cell>
          <cell r="BH43" t="str">
            <v>01DKD2_JULV1678</v>
          </cell>
          <cell r="BI43">
            <v>7</v>
          </cell>
          <cell r="BJ43">
            <v>8</v>
          </cell>
        </row>
        <row r="44">
          <cell r="A44">
            <v>18585032</v>
          </cell>
          <cell r="B44" t="str">
            <v>White Heath, IL</v>
          </cell>
          <cell r="C44" t="str">
            <v>ILAJ.02</v>
          </cell>
          <cell r="D44" t="str">
            <v>ILAJ.02</v>
          </cell>
          <cell r="E44" t="str">
            <v>WHAJ.RC.UI</v>
          </cell>
          <cell r="F44">
            <v>22488</v>
          </cell>
          <cell r="G44">
            <v>455812</v>
          </cell>
          <cell r="H44" t="str">
            <v>RCO_SBY105-S-EUP L01</v>
          </cell>
          <cell r="I44" t="str">
            <v>Short</v>
          </cell>
          <cell r="J44">
            <v>18585032</v>
          </cell>
          <cell r="K44">
            <v>12</v>
          </cell>
          <cell r="L44">
            <v>6</v>
          </cell>
          <cell r="M44">
            <v>4</v>
          </cell>
          <cell r="O44">
            <v>7</v>
          </cell>
          <cell r="P44">
            <v>11</v>
          </cell>
          <cell r="Q44">
            <v>10303171</v>
          </cell>
          <cell r="R44" t="str">
            <v>internal_seed</v>
          </cell>
          <cell r="S44" t="str">
            <v>experiment</v>
          </cell>
          <cell r="U44" t="str">
            <v>{"entityType":"setEntry","value":"18585032"}</v>
          </cell>
          <cell r="Y44" t="str">
            <v>22 10 27 40 HIKI22MK43C1-18R3_00009_00037_1_@_+</v>
          </cell>
          <cell r="Z44" t="str">
            <v>Stature &amp; Hybrid</v>
          </cell>
          <cell r="AA44" t="str">
            <v>Internal Seed</v>
          </cell>
          <cell r="AB44" t="str">
            <v>01DKD2-ASH-A+FOLV1561</v>
          </cell>
          <cell r="AH44" t="str">
            <v>Stature &amp; Hybrid Short-EUP</v>
          </cell>
          <cell r="AI44" t="str">
            <v>Internal Seed 01DKD2-ASH-A+FOLV1561</v>
          </cell>
          <cell r="AK44">
            <v>1530675915306760</v>
          </cell>
          <cell r="AL44">
            <v>18585032</v>
          </cell>
          <cell r="AM44">
            <v>12</v>
          </cell>
          <cell r="AN44">
            <v>2412574</v>
          </cell>
          <cell r="AU44" t="str">
            <v>pMON373578</v>
          </cell>
          <cell r="AV44">
            <v>2849000</v>
          </cell>
          <cell r="AW44">
            <v>110120765</v>
          </cell>
          <cell r="AY44" t="str">
            <v>pMON373578</v>
          </cell>
          <cell r="AZ44" t="str">
            <v>ZM_S21773821</v>
          </cell>
          <cell r="BA44">
            <v>10303171</v>
          </cell>
          <cell r="BB44" t="str">
            <v>IJN600000879564198566244</v>
          </cell>
          <cell r="BC44">
            <v>656725</v>
          </cell>
          <cell r="BD44" t="str">
            <v>Other</v>
          </cell>
          <cell r="BE44" t="str">
            <v>01DKD2-ASH-A+FOLV1561</v>
          </cell>
          <cell r="BF44" t="str">
            <v>01DKD2</v>
          </cell>
          <cell r="BG44" t="str">
            <v>FOLV1561</v>
          </cell>
          <cell r="BH44" t="str">
            <v>01DKD2_FOLV1561</v>
          </cell>
          <cell r="BI44">
            <v>7</v>
          </cell>
          <cell r="BJ44">
            <v>11</v>
          </cell>
        </row>
        <row r="45">
          <cell r="A45">
            <v>18585026</v>
          </cell>
          <cell r="B45" t="str">
            <v>White Heath, IL</v>
          </cell>
          <cell r="C45" t="str">
            <v>ILAJ.02</v>
          </cell>
          <cell r="D45" t="str">
            <v>ILAJ.02</v>
          </cell>
          <cell r="E45" t="str">
            <v>WHAJ.RC.UI</v>
          </cell>
          <cell r="F45">
            <v>22488</v>
          </cell>
          <cell r="G45">
            <v>455812</v>
          </cell>
          <cell r="H45" t="str">
            <v>RCO_SBY105-S-EUP L01</v>
          </cell>
          <cell r="I45" t="str">
            <v>Short</v>
          </cell>
          <cell r="J45">
            <v>18585026</v>
          </cell>
          <cell r="K45">
            <v>6</v>
          </cell>
          <cell r="L45">
            <v>6</v>
          </cell>
          <cell r="M45">
            <v>3</v>
          </cell>
          <cell r="O45">
            <v>7</v>
          </cell>
          <cell r="P45">
            <v>12</v>
          </cell>
          <cell r="Q45">
            <v>9038120</v>
          </cell>
          <cell r="R45" t="str">
            <v>internal_seed</v>
          </cell>
          <cell r="S45" t="str">
            <v>experiment</v>
          </cell>
          <cell r="U45" t="str">
            <v>{"entityType":"setEntry","value":"18585026"}</v>
          </cell>
          <cell r="Y45" t="str">
            <v>22 10 27 40 HIKI22MK43C1-18R3_00003_00025_1_@_+</v>
          </cell>
          <cell r="Z45" t="str">
            <v>Stature &amp; Hybrid</v>
          </cell>
          <cell r="AA45" t="str">
            <v>Internal Seed</v>
          </cell>
          <cell r="AB45" t="str">
            <v>01DKD2-ASH-A+80IDM2</v>
          </cell>
          <cell r="AH45" t="str">
            <v>Stature &amp; Hybrid Short-EUP</v>
          </cell>
          <cell r="AI45" t="str">
            <v>Internal Seed 01DKD2-ASH-A+80IDM2</v>
          </cell>
          <cell r="AK45">
            <v>1530672515306720</v>
          </cell>
          <cell r="AL45">
            <v>18585026</v>
          </cell>
          <cell r="AM45">
            <v>11</v>
          </cell>
          <cell r="AN45">
            <v>2412574</v>
          </cell>
          <cell r="AU45" t="str">
            <v>pMON373578</v>
          </cell>
          <cell r="AV45">
            <v>2848999</v>
          </cell>
          <cell r="AW45">
            <v>110120764</v>
          </cell>
          <cell r="AY45" t="str">
            <v>pMON373578</v>
          </cell>
          <cell r="AZ45" t="str">
            <v>ZM_S21773821</v>
          </cell>
          <cell r="BA45">
            <v>9038120</v>
          </cell>
          <cell r="BB45" t="str">
            <v>IJN600000879564198566228</v>
          </cell>
          <cell r="BC45">
            <v>656653</v>
          </cell>
          <cell r="BD45" t="str">
            <v>Other</v>
          </cell>
          <cell r="BE45" t="str">
            <v>01DKD2-ASH-A+80IDM2</v>
          </cell>
          <cell r="BF45" t="str">
            <v>01DKD2</v>
          </cell>
          <cell r="BG45" t="str">
            <v>80IDM2</v>
          </cell>
          <cell r="BH45" t="str">
            <v>01DKD2_80IDM2</v>
          </cell>
          <cell r="BI45">
            <v>7</v>
          </cell>
          <cell r="BJ45">
            <v>12</v>
          </cell>
        </row>
        <row r="46">
          <cell r="A46">
            <v>18585031</v>
          </cell>
          <cell r="B46" t="str">
            <v>White Heath, IL</v>
          </cell>
          <cell r="C46" t="str">
            <v>ILAJ.02</v>
          </cell>
          <cell r="D46" t="str">
            <v>ILAJ.02</v>
          </cell>
          <cell r="E46" t="str">
            <v>WHAJ.RC.UI</v>
          </cell>
          <cell r="F46">
            <v>22488</v>
          </cell>
          <cell r="G46">
            <v>455812</v>
          </cell>
          <cell r="H46" t="str">
            <v>RCO_SBY105-S-EUP L01</v>
          </cell>
          <cell r="I46" t="str">
            <v>Short</v>
          </cell>
          <cell r="J46">
            <v>18585031</v>
          </cell>
          <cell r="K46">
            <v>11</v>
          </cell>
          <cell r="L46">
            <v>5</v>
          </cell>
          <cell r="M46">
            <v>4</v>
          </cell>
          <cell r="O46">
            <v>7</v>
          </cell>
          <cell r="P46">
            <v>13</v>
          </cell>
          <cell r="Q46">
            <v>10303171</v>
          </cell>
          <cell r="R46" t="str">
            <v>internal_seed</v>
          </cell>
          <cell r="S46" t="str">
            <v>experiment</v>
          </cell>
          <cell r="U46" t="str">
            <v>{"entityType":"setEntry","value":"18585031"}</v>
          </cell>
          <cell r="Y46" t="str">
            <v>22 10 27 40 HIKI22MK43C1-18R3_00009_00037_1_@_+</v>
          </cell>
          <cell r="Z46" t="str">
            <v>Stature &amp; Hybrid</v>
          </cell>
          <cell r="AA46" t="str">
            <v>Internal Seed</v>
          </cell>
          <cell r="AB46" t="str">
            <v>01DKD2-ASH-A+FOLV1561</v>
          </cell>
          <cell r="AH46" t="str">
            <v>Stature &amp; Hybrid Short-EUP</v>
          </cell>
          <cell r="AI46" t="str">
            <v>Internal Seed 01DKD2-ASH-A+FOLV1561</v>
          </cell>
          <cell r="AK46">
            <v>1530676315306760</v>
          </cell>
          <cell r="AL46">
            <v>18585031</v>
          </cell>
          <cell r="AM46">
            <v>10</v>
          </cell>
          <cell r="AN46">
            <v>2412574</v>
          </cell>
          <cell r="AU46" t="str">
            <v>pMON373578</v>
          </cell>
          <cell r="AV46">
            <v>2849000</v>
          </cell>
          <cell r="AW46">
            <v>110120763</v>
          </cell>
          <cell r="AY46" t="str">
            <v>pMON373578</v>
          </cell>
          <cell r="AZ46" t="str">
            <v>ZM_S21773821</v>
          </cell>
          <cell r="BA46">
            <v>10303171</v>
          </cell>
          <cell r="BB46" t="str">
            <v>IJN600000879564198566244</v>
          </cell>
          <cell r="BC46">
            <v>656725</v>
          </cell>
          <cell r="BD46" t="str">
            <v>Other</v>
          </cell>
          <cell r="BE46" t="str">
            <v>01DKD2-ASH-A+FOLV1561</v>
          </cell>
          <cell r="BF46" t="str">
            <v>01DKD2</v>
          </cell>
          <cell r="BG46" t="str">
            <v>FOLV1561</v>
          </cell>
          <cell r="BH46" t="str">
            <v>01DKD2_FOLV1561</v>
          </cell>
          <cell r="BI46">
            <v>7</v>
          </cell>
          <cell r="BJ46">
            <v>13</v>
          </cell>
        </row>
        <row r="47">
          <cell r="A47">
            <v>18585025</v>
          </cell>
          <cell r="B47" t="str">
            <v>White Heath, IL</v>
          </cell>
          <cell r="C47" t="str">
            <v>ILAJ.02</v>
          </cell>
          <cell r="D47" t="str">
            <v>ILAJ.02</v>
          </cell>
          <cell r="E47" t="str">
            <v>WHAJ.RC.UI</v>
          </cell>
          <cell r="F47">
            <v>22488</v>
          </cell>
          <cell r="G47">
            <v>455812</v>
          </cell>
          <cell r="H47" t="str">
            <v>RCO_SBY105-S-EUP L01</v>
          </cell>
          <cell r="I47" t="str">
            <v>Short</v>
          </cell>
          <cell r="J47">
            <v>18585025</v>
          </cell>
          <cell r="K47">
            <v>5</v>
          </cell>
          <cell r="L47">
            <v>5</v>
          </cell>
          <cell r="M47">
            <v>3</v>
          </cell>
          <cell r="O47">
            <v>7</v>
          </cell>
          <cell r="P47">
            <v>14</v>
          </cell>
          <cell r="Q47">
            <v>9038120</v>
          </cell>
          <cell r="R47" t="str">
            <v>internal_seed</v>
          </cell>
          <cell r="S47" t="str">
            <v>experiment</v>
          </cell>
          <cell r="U47" t="str">
            <v>{"entityType":"setEntry","value":"18585025"}</v>
          </cell>
          <cell r="Y47" t="str">
            <v>22 10 27 40 HIKI22MK43C1-18R3_00003_00025_1_@_+</v>
          </cell>
          <cell r="Z47" t="str">
            <v>Stature &amp; Hybrid</v>
          </cell>
          <cell r="AA47" t="str">
            <v>Internal Seed</v>
          </cell>
          <cell r="AB47" t="str">
            <v>01DKD2-ASH-A+80IDM2</v>
          </cell>
          <cell r="AH47" t="str">
            <v>Stature &amp; Hybrid Short-EUP</v>
          </cell>
          <cell r="AI47" t="str">
            <v>Internal Seed 01DKD2-ASH-A+80IDM2</v>
          </cell>
          <cell r="AK47">
            <v>1530675315306750</v>
          </cell>
          <cell r="AL47">
            <v>18585025</v>
          </cell>
          <cell r="AM47">
            <v>9</v>
          </cell>
          <cell r="AN47">
            <v>2412574</v>
          </cell>
          <cell r="AU47" t="str">
            <v>pMON373578</v>
          </cell>
          <cell r="AV47">
            <v>2848999</v>
          </cell>
          <cell r="AW47">
            <v>110120762</v>
          </cell>
          <cell r="AY47" t="str">
            <v>pMON373578</v>
          </cell>
          <cell r="AZ47" t="str">
            <v>ZM_S21773821</v>
          </cell>
          <cell r="BA47">
            <v>9038120</v>
          </cell>
          <cell r="BB47" t="str">
            <v>IJN600000879564198566228</v>
          </cell>
          <cell r="BC47">
            <v>656653</v>
          </cell>
          <cell r="BD47" t="str">
            <v>Other</v>
          </cell>
          <cell r="BE47" t="str">
            <v>01DKD2-ASH-A+80IDM2</v>
          </cell>
          <cell r="BF47" t="str">
            <v>01DKD2</v>
          </cell>
          <cell r="BG47" t="str">
            <v>80IDM2</v>
          </cell>
          <cell r="BH47" t="str">
            <v>01DKD2_80IDM2</v>
          </cell>
          <cell r="BI47">
            <v>7</v>
          </cell>
          <cell r="BJ47">
            <v>14</v>
          </cell>
        </row>
        <row r="48">
          <cell r="A48">
            <v>18585030</v>
          </cell>
          <cell r="B48" t="str">
            <v>White Heath, IL</v>
          </cell>
          <cell r="C48" t="str">
            <v>ILAJ.02</v>
          </cell>
          <cell r="D48" t="str">
            <v>ILAJ.02</v>
          </cell>
          <cell r="E48" t="str">
            <v>WHAJ.RC.UI</v>
          </cell>
          <cell r="F48">
            <v>22488</v>
          </cell>
          <cell r="G48">
            <v>455812</v>
          </cell>
          <cell r="H48" t="str">
            <v>RCO_SBY105-S-EUP L01</v>
          </cell>
          <cell r="I48" t="str">
            <v>Short</v>
          </cell>
          <cell r="J48">
            <v>18585030</v>
          </cell>
          <cell r="K48">
            <v>10</v>
          </cell>
          <cell r="L48">
            <v>4</v>
          </cell>
          <cell r="M48">
            <v>4</v>
          </cell>
          <cell r="O48">
            <v>7</v>
          </cell>
          <cell r="P48">
            <v>15</v>
          </cell>
          <cell r="Q48">
            <v>10303171</v>
          </cell>
          <cell r="R48" t="str">
            <v>internal_seed</v>
          </cell>
          <cell r="S48" t="str">
            <v>experiment</v>
          </cell>
          <cell r="U48" t="str">
            <v>{"entityType":"setEntry","value":"18585030"}</v>
          </cell>
          <cell r="Y48" t="str">
            <v>22 10 27 40 HIKI22MK43C1-18R3_00009_00037_1_@_+</v>
          </cell>
          <cell r="Z48" t="str">
            <v>Stature &amp; Hybrid</v>
          </cell>
          <cell r="AA48" t="str">
            <v>Internal Seed</v>
          </cell>
          <cell r="AB48" t="str">
            <v>01DKD2-ASH-A+FOLV1561</v>
          </cell>
          <cell r="AH48" t="str">
            <v>Stature &amp; Hybrid Short-EUP</v>
          </cell>
          <cell r="AI48" t="str">
            <v>Internal Seed 01DKD2-ASH-A+FOLV1561</v>
          </cell>
          <cell r="AK48">
            <v>1530676815306760</v>
          </cell>
          <cell r="AL48">
            <v>18585030</v>
          </cell>
          <cell r="AM48">
            <v>8</v>
          </cell>
          <cell r="AN48">
            <v>2412574</v>
          </cell>
          <cell r="AU48" t="str">
            <v>pMON373578</v>
          </cell>
          <cell r="AV48">
            <v>2849000</v>
          </cell>
          <cell r="AW48">
            <v>110120761</v>
          </cell>
          <cell r="AY48" t="str">
            <v>pMON373578</v>
          </cell>
          <cell r="AZ48" t="str">
            <v>ZM_S21773821</v>
          </cell>
          <cell r="BA48">
            <v>10303171</v>
          </cell>
          <cell r="BB48" t="str">
            <v>IJN600000879564198566244</v>
          </cell>
          <cell r="BC48">
            <v>656725</v>
          </cell>
          <cell r="BD48" t="str">
            <v>Other</v>
          </cell>
          <cell r="BE48" t="str">
            <v>01DKD2-ASH-A+FOLV1561</v>
          </cell>
          <cell r="BF48" t="str">
            <v>01DKD2</v>
          </cell>
          <cell r="BG48" t="str">
            <v>FOLV1561</v>
          </cell>
          <cell r="BH48" t="str">
            <v>01DKD2_FOLV1561</v>
          </cell>
          <cell r="BI48">
            <v>7</v>
          </cell>
          <cell r="BJ48">
            <v>15</v>
          </cell>
        </row>
        <row r="49">
          <cell r="A49">
            <v>18585024</v>
          </cell>
          <cell r="B49" t="str">
            <v>White Heath, IL</v>
          </cell>
          <cell r="C49" t="str">
            <v>ILAJ.02</v>
          </cell>
          <cell r="D49" t="str">
            <v>ILAJ.02</v>
          </cell>
          <cell r="E49" t="str">
            <v>WHAJ.RC.UI</v>
          </cell>
          <cell r="F49">
            <v>22488</v>
          </cell>
          <cell r="G49">
            <v>455812</v>
          </cell>
          <cell r="H49" t="str">
            <v>RCO_SBY105-S-EUP L01</v>
          </cell>
          <cell r="I49" t="str">
            <v>Short</v>
          </cell>
          <cell r="J49">
            <v>18585024</v>
          </cell>
          <cell r="K49">
            <v>4</v>
          </cell>
          <cell r="L49">
            <v>4</v>
          </cell>
          <cell r="M49">
            <v>3</v>
          </cell>
          <cell r="O49">
            <v>7</v>
          </cell>
          <cell r="P49">
            <v>16</v>
          </cell>
          <cell r="Q49">
            <v>9038120</v>
          </cell>
          <cell r="R49" t="str">
            <v>internal_seed</v>
          </cell>
          <cell r="S49" t="str">
            <v>experiment</v>
          </cell>
          <cell r="U49" t="str">
            <v>{"entityType":"setEntry","value":"18585024"}</v>
          </cell>
          <cell r="Y49" t="str">
            <v>22 10 27 40 HIKI22MK43C1-18R3_00003_00025_1_@_+</v>
          </cell>
          <cell r="Z49" t="str">
            <v>Stature &amp; Hybrid</v>
          </cell>
          <cell r="AA49" t="str">
            <v>Internal Seed</v>
          </cell>
          <cell r="AB49" t="str">
            <v>01DKD2-ASH-A+80IDM2</v>
          </cell>
          <cell r="AH49" t="str">
            <v>Stature &amp; Hybrid Short-EUP</v>
          </cell>
          <cell r="AI49" t="str">
            <v>Internal Seed 01DKD2-ASH-A+80IDM2</v>
          </cell>
          <cell r="AK49">
            <v>1530675815306750</v>
          </cell>
          <cell r="AL49">
            <v>18585024</v>
          </cell>
          <cell r="AM49">
            <v>7</v>
          </cell>
          <cell r="AN49">
            <v>2412574</v>
          </cell>
          <cell r="AU49" t="str">
            <v>pMON373578</v>
          </cell>
          <cell r="AV49">
            <v>2848999</v>
          </cell>
          <cell r="AW49">
            <v>110120760</v>
          </cell>
          <cell r="AY49" t="str">
            <v>pMON373578</v>
          </cell>
          <cell r="AZ49" t="str">
            <v>ZM_S21773821</v>
          </cell>
          <cell r="BA49">
            <v>9038120</v>
          </cell>
          <cell r="BB49" t="str">
            <v>IJN600000879564198566228</v>
          </cell>
          <cell r="BC49">
            <v>656653</v>
          </cell>
          <cell r="BD49" t="str">
            <v>Other</v>
          </cell>
          <cell r="BE49" t="str">
            <v>01DKD2-ASH-A+80IDM2</v>
          </cell>
          <cell r="BF49" t="str">
            <v>01DKD2</v>
          </cell>
          <cell r="BG49" t="str">
            <v>80IDM2</v>
          </cell>
          <cell r="BH49" t="str">
            <v>01DKD2_80IDM2</v>
          </cell>
          <cell r="BI49">
            <v>7</v>
          </cell>
          <cell r="BJ49">
            <v>16</v>
          </cell>
        </row>
      </sheetData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5A1FC-5B70-4DB6-B2A3-41B7A77BE5D0}">
  <dimension ref="A1:E49"/>
  <sheetViews>
    <sheetView tabSelected="1" workbookViewId="0">
      <selection sqref="A1:E49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18585033</v>
      </c>
      <c r="B2">
        <f>VLOOKUP($A2,[1]Fieldbook!$A$2:$CC$6000,15,0)</f>
        <v>2</v>
      </c>
      <c r="C2">
        <f>VLOOKUP($A2,[1]Fieldbook!$A$2:$CC$6000,16,0)</f>
        <v>3</v>
      </c>
      <c r="D2">
        <v>4</v>
      </c>
      <c r="E2" t="str">
        <f>VLOOKUP(A2,[1]Fieldbook!$A$2:$CC$6000,9,0)</f>
        <v>Tall</v>
      </c>
    </row>
    <row r="3" spans="1:5" x14ac:dyDescent="0.35">
      <c r="A3">
        <v>18585039</v>
      </c>
      <c r="B3">
        <f>VLOOKUP($A3,[1]Fieldbook!$A$2:$CC$6000,15,0)</f>
        <v>2</v>
      </c>
      <c r="C3">
        <f>VLOOKUP($A3,[1]Fieldbook!$A$2:$CC$6000,16,0)</f>
        <v>4</v>
      </c>
      <c r="D3">
        <v>3</v>
      </c>
      <c r="E3" t="str">
        <f>VLOOKUP(A3,[1]Fieldbook!$A$2:$CC$6000,9,0)</f>
        <v>Tall</v>
      </c>
    </row>
    <row r="4" spans="1:5" x14ac:dyDescent="0.35">
      <c r="A4">
        <v>18585034</v>
      </c>
      <c r="B4">
        <f>VLOOKUP($A4,[1]Fieldbook!$A$2:$CC$6000,15,0)</f>
        <v>2</v>
      </c>
      <c r="C4">
        <f>VLOOKUP($A4,[1]Fieldbook!$A$2:$CC$6000,16,0)</f>
        <v>5</v>
      </c>
      <c r="D4">
        <v>4</v>
      </c>
      <c r="E4" t="str">
        <f>VLOOKUP(A4,[1]Fieldbook!$A$2:$CC$6000,9,0)</f>
        <v>Tall</v>
      </c>
    </row>
    <row r="5" spans="1:5" x14ac:dyDescent="0.35">
      <c r="A5">
        <v>18585040</v>
      </c>
      <c r="B5">
        <f>VLOOKUP($A5,[1]Fieldbook!$A$2:$CC$6000,15,0)</f>
        <v>2</v>
      </c>
      <c r="C5">
        <f>VLOOKUP($A5,[1]Fieldbook!$A$2:$CC$6000,16,0)</f>
        <v>6</v>
      </c>
      <c r="D5">
        <v>3</v>
      </c>
      <c r="E5" t="str">
        <f>VLOOKUP(A5,[1]Fieldbook!$A$2:$CC$6000,9,0)</f>
        <v>Tall</v>
      </c>
    </row>
    <row r="6" spans="1:5" x14ac:dyDescent="0.35">
      <c r="A6">
        <v>18585035</v>
      </c>
      <c r="B6">
        <f>VLOOKUP($A6,[1]Fieldbook!$A$2:$CC$6000,15,0)</f>
        <v>2</v>
      </c>
      <c r="C6">
        <f>VLOOKUP($A6,[1]Fieldbook!$A$2:$CC$6000,16,0)</f>
        <v>7</v>
      </c>
      <c r="D6">
        <v>4</v>
      </c>
      <c r="E6" t="str">
        <f>VLOOKUP(A6,[1]Fieldbook!$A$2:$CC$6000,9,0)</f>
        <v>Tall</v>
      </c>
    </row>
    <row r="7" spans="1:5" x14ac:dyDescent="0.35">
      <c r="A7">
        <v>18585041</v>
      </c>
      <c r="B7">
        <f>VLOOKUP($A7,[1]Fieldbook!$A$2:$CC$6000,15,0)</f>
        <v>2</v>
      </c>
      <c r="C7">
        <f>VLOOKUP($A7,[1]Fieldbook!$A$2:$CC$6000,16,0)</f>
        <v>8</v>
      </c>
      <c r="D7">
        <v>3</v>
      </c>
      <c r="E7" t="str">
        <f>VLOOKUP(A7,[1]Fieldbook!$A$2:$CC$6000,9,0)</f>
        <v>Tall</v>
      </c>
    </row>
    <row r="8" spans="1:5" x14ac:dyDescent="0.35">
      <c r="A8">
        <v>18584997</v>
      </c>
      <c r="B8">
        <f>VLOOKUP($A8,[1]Fieldbook!$A$2:$CC$6000,15,0)</f>
        <v>2</v>
      </c>
      <c r="C8">
        <f>VLOOKUP($A8,[1]Fieldbook!$A$2:$CC$6000,16,0)</f>
        <v>11</v>
      </c>
      <c r="D8">
        <v>1</v>
      </c>
      <c r="E8" t="str">
        <f>VLOOKUP(A8,[1]Fieldbook!$A$2:$CC$6000,9,0)</f>
        <v>Tall</v>
      </c>
    </row>
    <row r="9" spans="1:5" x14ac:dyDescent="0.35">
      <c r="A9">
        <v>18585003</v>
      </c>
      <c r="B9">
        <f>VLOOKUP($A9,[1]Fieldbook!$A$2:$CC$6000,15,0)</f>
        <v>2</v>
      </c>
      <c r="C9">
        <f>VLOOKUP($A9,[1]Fieldbook!$A$2:$CC$6000,16,0)</f>
        <v>12</v>
      </c>
      <c r="D9">
        <v>2</v>
      </c>
      <c r="E9" t="str">
        <f>VLOOKUP(A9,[1]Fieldbook!$A$2:$CC$6000,9,0)</f>
        <v>Tall</v>
      </c>
    </row>
    <row r="10" spans="1:5" x14ac:dyDescent="0.35">
      <c r="A10">
        <v>18584998</v>
      </c>
      <c r="B10">
        <f>VLOOKUP($A10,[1]Fieldbook!$A$2:$CC$6000,15,0)</f>
        <v>2</v>
      </c>
      <c r="C10">
        <f>VLOOKUP($A10,[1]Fieldbook!$A$2:$CC$6000,16,0)</f>
        <v>13</v>
      </c>
      <c r="D10">
        <v>1</v>
      </c>
      <c r="E10" t="str">
        <f>VLOOKUP(A10,[1]Fieldbook!$A$2:$CC$6000,9,0)</f>
        <v>Tall</v>
      </c>
    </row>
    <row r="11" spans="1:5" x14ac:dyDescent="0.35">
      <c r="A11">
        <v>18585004</v>
      </c>
      <c r="B11">
        <f>VLOOKUP($A11,[1]Fieldbook!$A$2:$CC$6000,15,0)</f>
        <v>2</v>
      </c>
      <c r="C11">
        <f>VLOOKUP($A11,[1]Fieldbook!$A$2:$CC$6000,16,0)</f>
        <v>14</v>
      </c>
      <c r="D11">
        <v>2</v>
      </c>
      <c r="E11" t="str">
        <f>VLOOKUP(A11,[1]Fieldbook!$A$2:$CC$6000,9,0)</f>
        <v>Tall</v>
      </c>
    </row>
    <row r="12" spans="1:5" x14ac:dyDescent="0.35">
      <c r="A12">
        <v>18584999</v>
      </c>
      <c r="B12">
        <f>VLOOKUP($A12,[1]Fieldbook!$A$2:$CC$6000,15,0)</f>
        <v>2</v>
      </c>
      <c r="C12">
        <f>VLOOKUP($A12,[1]Fieldbook!$A$2:$CC$6000,16,0)</f>
        <v>15</v>
      </c>
      <c r="D12">
        <v>1</v>
      </c>
      <c r="E12" t="str">
        <f>VLOOKUP(A12,[1]Fieldbook!$A$2:$CC$6000,9,0)</f>
        <v>Tall</v>
      </c>
    </row>
    <row r="13" spans="1:5" x14ac:dyDescent="0.35">
      <c r="A13">
        <v>18585005</v>
      </c>
      <c r="B13">
        <f>VLOOKUP($A13,[1]Fieldbook!$A$2:$CC$6000,15,0)</f>
        <v>2</v>
      </c>
      <c r="C13">
        <f>VLOOKUP($A13,[1]Fieldbook!$A$2:$CC$6000,16,0)</f>
        <v>16</v>
      </c>
      <c r="D13">
        <v>2</v>
      </c>
      <c r="E13" t="str">
        <f>VLOOKUP(A13,[1]Fieldbook!$A$2:$CC$6000,9,0)</f>
        <v>Tall</v>
      </c>
    </row>
    <row r="14" spans="1:5" x14ac:dyDescent="0.35">
      <c r="A14">
        <v>18585044</v>
      </c>
      <c r="B14">
        <f>VLOOKUP($A14,[1]Fieldbook!$A$2:$CC$6000,15,0)</f>
        <v>3</v>
      </c>
      <c r="C14">
        <f>VLOOKUP($A14,[1]Fieldbook!$A$2:$CC$6000,16,0)</f>
        <v>3</v>
      </c>
      <c r="D14">
        <v>3</v>
      </c>
      <c r="E14" t="str">
        <f>VLOOKUP(A14,[1]Fieldbook!$A$2:$CC$6000,9,0)</f>
        <v>Tall</v>
      </c>
    </row>
    <row r="15" spans="1:5" x14ac:dyDescent="0.35">
      <c r="A15">
        <v>18585038</v>
      </c>
      <c r="B15">
        <f>VLOOKUP($A15,[1]Fieldbook!$A$2:$CC$6000,15,0)</f>
        <v>3</v>
      </c>
      <c r="C15">
        <f>VLOOKUP($A15,[1]Fieldbook!$A$2:$CC$6000,16,0)</f>
        <v>4</v>
      </c>
      <c r="D15">
        <v>4</v>
      </c>
      <c r="E15" t="str">
        <f>VLOOKUP(A15,[1]Fieldbook!$A$2:$CC$6000,9,0)</f>
        <v>Tall</v>
      </c>
    </row>
    <row r="16" spans="1:5" x14ac:dyDescent="0.35">
      <c r="A16">
        <v>18585043</v>
      </c>
      <c r="B16">
        <f>VLOOKUP($A16,[1]Fieldbook!$A$2:$CC$6000,15,0)</f>
        <v>3</v>
      </c>
      <c r="C16">
        <f>VLOOKUP($A16,[1]Fieldbook!$A$2:$CC$6000,16,0)</f>
        <v>5</v>
      </c>
      <c r="D16">
        <v>3</v>
      </c>
      <c r="E16" t="str">
        <f>VLOOKUP(A16,[1]Fieldbook!$A$2:$CC$6000,9,0)</f>
        <v>Tall</v>
      </c>
    </row>
    <row r="17" spans="1:5" x14ac:dyDescent="0.35">
      <c r="A17">
        <v>18585037</v>
      </c>
      <c r="B17">
        <f>VLOOKUP($A17,[1]Fieldbook!$A$2:$CC$6000,15,0)</f>
        <v>3</v>
      </c>
      <c r="C17">
        <f>VLOOKUP($A17,[1]Fieldbook!$A$2:$CC$6000,16,0)</f>
        <v>6</v>
      </c>
      <c r="D17">
        <v>4</v>
      </c>
      <c r="E17" t="str">
        <f>VLOOKUP(A17,[1]Fieldbook!$A$2:$CC$6000,9,0)</f>
        <v>Tall</v>
      </c>
    </row>
    <row r="18" spans="1:5" x14ac:dyDescent="0.35">
      <c r="A18">
        <v>18585042</v>
      </c>
      <c r="B18">
        <f>VLOOKUP($A18,[1]Fieldbook!$A$2:$CC$6000,15,0)</f>
        <v>3</v>
      </c>
      <c r="C18">
        <f>VLOOKUP($A18,[1]Fieldbook!$A$2:$CC$6000,16,0)</f>
        <v>7</v>
      </c>
      <c r="D18">
        <v>3</v>
      </c>
      <c r="E18" t="str">
        <f>VLOOKUP(A18,[1]Fieldbook!$A$2:$CC$6000,9,0)</f>
        <v>Tall</v>
      </c>
    </row>
    <row r="19" spans="1:5" x14ac:dyDescent="0.35">
      <c r="A19">
        <v>18585036</v>
      </c>
      <c r="B19">
        <f>VLOOKUP($A19,[1]Fieldbook!$A$2:$CC$6000,15,0)</f>
        <v>3</v>
      </c>
      <c r="C19">
        <f>VLOOKUP($A19,[1]Fieldbook!$A$2:$CC$6000,16,0)</f>
        <v>8</v>
      </c>
      <c r="D19">
        <v>4</v>
      </c>
      <c r="E19" t="str">
        <f>VLOOKUP(A19,[1]Fieldbook!$A$2:$CC$6000,9,0)</f>
        <v>Tall</v>
      </c>
    </row>
    <row r="20" spans="1:5" x14ac:dyDescent="0.35">
      <c r="A20">
        <v>18585008</v>
      </c>
      <c r="B20">
        <f>VLOOKUP($A20,[1]Fieldbook!$A$2:$CC$6000,15,0)</f>
        <v>3</v>
      </c>
      <c r="C20">
        <f>VLOOKUP($A20,[1]Fieldbook!$A$2:$CC$6000,16,0)</f>
        <v>11</v>
      </c>
      <c r="D20">
        <v>2</v>
      </c>
      <c r="E20" t="str">
        <f>VLOOKUP(A20,[1]Fieldbook!$A$2:$CC$6000,9,0)</f>
        <v>Tall</v>
      </c>
    </row>
    <row r="21" spans="1:5" x14ac:dyDescent="0.35">
      <c r="A21">
        <v>18585002</v>
      </c>
      <c r="B21">
        <f>VLOOKUP($A21,[1]Fieldbook!$A$2:$CC$6000,15,0)</f>
        <v>3</v>
      </c>
      <c r="C21">
        <f>VLOOKUP($A21,[1]Fieldbook!$A$2:$CC$6000,16,0)</f>
        <v>12</v>
      </c>
      <c r="D21">
        <v>1</v>
      </c>
      <c r="E21" t="str">
        <f>VLOOKUP(A21,[1]Fieldbook!$A$2:$CC$6000,9,0)</f>
        <v>Tall</v>
      </c>
    </row>
    <row r="22" spans="1:5" x14ac:dyDescent="0.35">
      <c r="A22">
        <v>18585007</v>
      </c>
      <c r="B22">
        <f>VLOOKUP($A22,[1]Fieldbook!$A$2:$CC$6000,15,0)</f>
        <v>3</v>
      </c>
      <c r="C22">
        <f>VLOOKUP($A22,[1]Fieldbook!$A$2:$CC$6000,16,0)</f>
        <v>13</v>
      </c>
      <c r="D22">
        <v>2</v>
      </c>
      <c r="E22" t="str">
        <f>VLOOKUP(A22,[1]Fieldbook!$A$2:$CC$6000,9,0)</f>
        <v>Tall</v>
      </c>
    </row>
    <row r="23" spans="1:5" x14ac:dyDescent="0.35">
      <c r="A23">
        <v>18585001</v>
      </c>
      <c r="B23">
        <f>VLOOKUP($A23,[1]Fieldbook!$A$2:$CC$6000,15,0)</f>
        <v>3</v>
      </c>
      <c r="C23">
        <f>VLOOKUP($A23,[1]Fieldbook!$A$2:$CC$6000,16,0)</f>
        <v>14</v>
      </c>
      <c r="D23">
        <v>1</v>
      </c>
      <c r="E23" t="str">
        <f>VLOOKUP(A23,[1]Fieldbook!$A$2:$CC$6000,9,0)</f>
        <v>Tall</v>
      </c>
    </row>
    <row r="24" spans="1:5" x14ac:dyDescent="0.35">
      <c r="A24">
        <v>18585006</v>
      </c>
      <c r="B24">
        <f>VLOOKUP($A24,[1]Fieldbook!$A$2:$CC$6000,15,0)</f>
        <v>3</v>
      </c>
      <c r="C24">
        <f>VLOOKUP($A24,[1]Fieldbook!$A$2:$CC$6000,16,0)</f>
        <v>15</v>
      </c>
      <c r="D24">
        <v>2</v>
      </c>
      <c r="E24" t="str">
        <f>VLOOKUP(A24,[1]Fieldbook!$A$2:$CC$6000,9,0)</f>
        <v>Tall</v>
      </c>
    </row>
    <row r="25" spans="1:5" x14ac:dyDescent="0.35">
      <c r="A25">
        <v>18585000</v>
      </c>
      <c r="B25">
        <f>VLOOKUP($A25,[1]Fieldbook!$A$2:$CC$6000,15,0)</f>
        <v>3</v>
      </c>
      <c r="C25">
        <f>VLOOKUP($A25,[1]Fieldbook!$A$2:$CC$6000,16,0)</f>
        <v>16</v>
      </c>
      <c r="D25">
        <v>1</v>
      </c>
      <c r="E25" t="str">
        <f>VLOOKUP(A25,[1]Fieldbook!$A$2:$CC$6000,9,0)</f>
        <v>Tall</v>
      </c>
    </row>
    <row r="26" spans="1:5" x14ac:dyDescent="0.35">
      <c r="A26">
        <v>18585009</v>
      </c>
      <c r="B26">
        <f>VLOOKUP($A26,[1]Fieldbook!$A$2:$CC$6000,15,0)</f>
        <v>6</v>
      </c>
      <c r="C26">
        <f>VLOOKUP($A26,[1]Fieldbook!$A$2:$CC$6000,16,0)</f>
        <v>3</v>
      </c>
      <c r="D26">
        <v>3</v>
      </c>
      <c r="E26" t="str">
        <f>VLOOKUP(A26,[1]Fieldbook!$A$2:$CC$6000,9,0)</f>
        <v>Short</v>
      </c>
    </row>
    <row r="27" spans="1:5" x14ac:dyDescent="0.35">
      <c r="A27">
        <v>18585015</v>
      </c>
      <c r="B27">
        <f>VLOOKUP($A27,[1]Fieldbook!$A$2:$CC$6000,15,0)</f>
        <v>6</v>
      </c>
      <c r="C27">
        <f>VLOOKUP($A27,[1]Fieldbook!$A$2:$CC$6000,16,0)</f>
        <v>4</v>
      </c>
      <c r="D27">
        <v>4</v>
      </c>
      <c r="E27" t="str">
        <f>VLOOKUP(A27,[1]Fieldbook!$A$2:$CC$6000,9,0)</f>
        <v>Short</v>
      </c>
    </row>
    <row r="28" spans="1:5" x14ac:dyDescent="0.35">
      <c r="A28">
        <v>18585010</v>
      </c>
      <c r="B28">
        <f>VLOOKUP($A28,[1]Fieldbook!$A$2:$CC$6000,15,0)</f>
        <v>6</v>
      </c>
      <c r="C28">
        <f>VLOOKUP($A28,[1]Fieldbook!$A$2:$CC$6000,16,0)</f>
        <v>5</v>
      </c>
      <c r="D28">
        <v>3</v>
      </c>
      <c r="E28" t="str">
        <f>VLOOKUP(A28,[1]Fieldbook!$A$2:$CC$6000,9,0)</f>
        <v>Short</v>
      </c>
    </row>
    <row r="29" spans="1:5" x14ac:dyDescent="0.35">
      <c r="A29">
        <v>18585016</v>
      </c>
      <c r="B29">
        <f>VLOOKUP($A29,[1]Fieldbook!$A$2:$CC$6000,15,0)</f>
        <v>6</v>
      </c>
      <c r="C29">
        <f>VLOOKUP($A29,[1]Fieldbook!$A$2:$CC$6000,16,0)</f>
        <v>6</v>
      </c>
      <c r="D29">
        <v>4</v>
      </c>
      <c r="E29" t="str">
        <f>VLOOKUP(A29,[1]Fieldbook!$A$2:$CC$6000,9,0)</f>
        <v>Short</v>
      </c>
    </row>
    <row r="30" spans="1:5" x14ac:dyDescent="0.35">
      <c r="A30">
        <v>18585011</v>
      </c>
      <c r="B30">
        <f>VLOOKUP($A30,[1]Fieldbook!$A$2:$CC$6000,15,0)</f>
        <v>6</v>
      </c>
      <c r="C30">
        <f>VLOOKUP($A30,[1]Fieldbook!$A$2:$CC$6000,16,0)</f>
        <v>7</v>
      </c>
      <c r="D30">
        <v>3</v>
      </c>
      <c r="E30" t="str">
        <f>VLOOKUP(A30,[1]Fieldbook!$A$2:$CC$6000,9,0)</f>
        <v>Short</v>
      </c>
    </row>
    <row r="31" spans="1:5" x14ac:dyDescent="0.35">
      <c r="A31">
        <v>18585017</v>
      </c>
      <c r="B31">
        <f>VLOOKUP($A31,[1]Fieldbook!$A$2:$CC$6000,15,0)</f>
        <v>6</v>
      </c>
      <c r="C31">
        <f>VLOOKUP($A31,[1]Fieldbook!$A$2:$CC$6000,16,0)</f>
        <v>8</v>
      </c>
      <c r="D31">
        <v>4</v>
      </c>
      <c r="E31" t="str">
        <f>VLOOKUP(A31,[1]Fieldbook!$A$2:$CC$6000,9,0)</f>
        <v>Short</v>
      </c>
    </row>
    <row r="32" spans="1:5" x14ac:dyDescent="0.35">
      <c r="A32">
        <v>18585021</v>
      </c>
      <c r="B32">
        <f>VLOOKUP($A32,[1]Fieldbook!$A$2:$CC$6000,15,0)</f>
        <v>6</v>
      </c>
      <c r="C32">
        <f>VLOOKUP($A32,[1]Fieldbook!$A$2:$CC$6000,16,0)</f>
        <v>11</v>
      </c>
      <c r="D32">
        <v>1</v>
      </c>
      <c r="E32" t="str">
        <f>VLOOKUP(A32,[1]Fieldbook!$A$2:$CC$6000,9,0)</f>
        <v>Short</v>
      </c>
    </row>
    <row r="33" spans="1:5" x14ac:dyDescent="0.35">
      <c r="A33">
        <v>18585027</v>
      </c>
      <c r="B33">
        <f>VLOOKUP($A33,[1]Fieldbook!$A$2:$CC$6000,15,0)</f>
        <v>6</v>
      </c>
      <c r="C33">
        <f>VLOOKUP($A33,[1]Fieldbook!$A$2:$CC$6000,16,0)</f>
        <v>12</v>
      </c>
      <c r="D33">
        <v>2</v>
      </c>
      <c r="E33" t="str">
        <f>VLOOKUP(A33,[1]Fieldbook!$A$2:$CC$6000,9,0)</f>
        <v>Short</v>
      </c>
    </row>
    <row r="34" spans="1:5" x14ac:dyDescent="0.35">
      <c r="A34">
        <v>18585022</v>
      </c>
      <c r="B34">
        <f>VLOOKUP($A34,[1]Fieldbook!$A$2:$CC$6000,15,0)</f>
        <v>6</v>
      </c>
      <c r="C34">
        <f>VLOOKUP($A34,[1]Fieldbook!$A$2:$CC$6000,16,0)</f>
        <v>13</v>
      </c>
      <c r="D34">
        <v>1</v>
      </c>
      <c r="E34" t="str">
        <f>VLOOKUP(A34,[1]Fieldbook!$A$2:$CC$6000,9,0)</f>
        <v>Short</v>
      </c>
    </row>
    <row r="35" spans="1:5" x14ac:dyDescent="0.35">
      <c r="A35">
        <v>18585028</v>
      </c>
      <c r="B35">
        <f>VLOOKUP($A35,[1]Fieldbook!$A$2:$CC$6000,15,0)</f>
        <v>6</v>
      </c>
      <c r="C35">
        <f>VLOOKUP($A35,[1]Fieldbook!$A$2:$CC$6000,16,0)</f>
        <v>14</v>
      </c>
      <c r="D35">
        <v>2</v>
      </c>
      <c r="E35" t="str">
        <f>VLOOKUP(A35,[1]Fieldbook!$A$2:$CC$6000,9,0)</f>
        <v>Short</v>
      </c>
    </row>
    <row r="36" spans="1:5" x14ac:dyDescent="0.35">
      <c r="A36">
        <v>18585023</v>
      </c>
      <c r="B36">
        <f>VLOOKUP($A36,[1]Fieldbook!$A$2:$CC$6000,15,0)</f>
        <v>6</v>
      </c>
      <c r="C36">
        <f>VLOOKUP($A36,[1]Fieldbook!$A$2:$CC$6000,16,0)</f>
        <v>15</v>
      </c>
      <c r="D36">
        <v>1</v>
      </c>
      <c r="E36" t="str">
        <f>VLOOKUP(A36,[1]Fieldbook!$A$2:$CC$6000,9,0)</f>
        <v>Short</v>
      </c>
    </row>
    <row r="37" spans="1:5" x14ac:dyDescent="0.35">
      <c r="A37">
        <v>18585029</v>
      </c>
      <c r="B37">
        <f>VLOOKUP($A37,[1]Fieldbook!$A$2:$CC$6000,15,0)</f>
        <v>6</v>
      </c>
      <c r="C37">
        <f>VLOOKUP($A37,[1]Fieldbook!$A$2:$CC$6000,16,0)</f>
        <v>16</v>
      </c>
      <c r="D37">
        <v>2</v>
      </c>
      <c r="E37" t="str">
        <f>VLOOKUP(A37,[1]Fieldbook!$A$2:$CC$6000,9,0)</f>
        <v>Short</v>
      </c>
    </row>
    <row r="38" spans="1:5" x14ac:dyDescent="0.35">
      <c r="A38">
        <v>18585020</v>
      </c>
      <c r="B38">
        <f>VLOOKUP($A38,[1]Fieldbook!$A$2:$CC$6000,15,0)</f>
        <v>7</v>
      </c>
      <c r="C38">
        <f>VLOOKUP($A38,[1]Fieldbook!$A$2:$CC$6000,16,0)</f>
        <v>3</v>
      </c>
      <c r="D38">
        <v>4</v>
      </c>
      <c r="E38" t="str">
        <f>VLOOKUP(A38,[1]Fieldbook!$A$2:$CC$6000,9,0)</f>
        <v>Short</v>
      </c>
    </row>
    <row r="39" spans="1:5" x14ac:dyDescent="0.35">
      <c r="A39">
        <v>18585014</v>
      </c>
      <c r="B39">
        <f>VLOOKUP($A39,[1]Fieldbook!$A$2:$CC$6000,15,0)</f>
        <v>7</v>
      </c>
      <c r="C39">
        <f>VLOOKUP($A39,[1]Fieldbook!$A$2:$CC$6000,16,0)</f>
        <v>4</v>
      </c>
      <c r="D39">
        <v>3</v>
      </c>
      <c r="E39" t="str">
        <f>VLOOKUP(A39,[1]Fieldbook!$A$2:$CC$6000,9,0)</f>
        <v>Short</v>
      </c>
    </row>
    <row r="40" spans="1:5" x14ac:dyDescent="0.35">
      <c r="A40">
        <v>18585019</v>
      </c>
      <c r="B40">
        <f>VLOOKUP($A40,[1]Fieldbook!$A$2:$CC$6000,15,0)</f>
        <v>7</v>
      </c>
      <c r="C40">
        <f>VLOOKUP($A40,[1]Fieldbook!$A$2:$CC$6000,16,0)</f>
        <v>5</v>
      </c>
      <c r="D40">
        <v>4</v>
      </c>
      <c r="E40" t="str">
        <f>VLOOKUP(A40,[1]Fieldbook!$A$2:$CC$6000,9,0)</f>
        <v>Short</v>
      </c>
    </row>
    <row r="41" spans="1:5" x14ac:dyDescent="0.35">
      <c r="A41">
        <v>18585013</v>
      </c>
      <c r="B41">
        <f>VLOOKUP($A41,[1]Fieldbook!$A$2:$CC$6000,15,0)</f>
        <v>7</v>
      </c>
      <c r="C41">
        <f>VLOOKUP($A41,[1]Fieldbook!$A$2:$CC$6000,16,0)</f>
        <v>6</v>
      </c>
      <c r="D41">
        <v>3</v>
      </c>
      <c r="E41" t="str">
        <f>VLOOKUP(A41,[1]Fieldbook!$A$2:$CC$6000,9,0)</f>
        <v>Short</v>
      </c>
    </row>
    <row r="42" spans="1:5" x14ac:dyDescent="0.35">
      <c r="A42">
        <v>18585018</v>
      </c>
      <c r="B42">
        <f>VLOOKUP($A42,[1]Fieldbook!$A$2:$CC$6000,15,0)</f>
        <v>7</v>
      </c>
      <c r="C42">
        <f>VLOOKUP($A42,[1]Fieldbook!$A$2:$CC$6000,16,0)</f>
        <v>7</v>
      </c>
      <c r="D42">
        <v>4</v>
      </c>
      <c r="E42" t="str">
        <f>VLOOKUP(A42,[1]Fieldbook!$A$2:$CC$6000,9,0)</f>
        <v>Short</v>
      </c>
    </row>
    <row r="43" spans="1:5" x14ac:dyDescent="0.35">
      <c r="A43">
        <v>18585012</v>
      </c>
      <c r="B43">
        <f>VLOOKUP($A43,[1]Fieldbook!$A$2:$CC$6000,15,0)</f>
        <v>7</v>
      </c>
      <c r="C43">
        <f>VLOOKUP($A43,[1]Fieldbook!$A$2:$CC$6000,16,0)</f>
        <v>8</v>
      </c>
      <c r="D43">
        <v>3</v>
      </c>
      <c r="E43" t="str">
        <f>VLOOKUP(A43,[1]Fieldbook!$A$2:$CC$6000,9,0)</f>
        <v>Short</v>
      </c>
    </row>
    <row r="44" spans="1:5" x14ac:dyDescent="0.35">
      <c r="A44">
        <v>18585032</v>
      </c>
      <c r="B44">
        <f>VLOOKUP($A44,[1]Fieldbook!$A$2:$CC$6000,15,0)</f>
        <v>7</v>
      </c>
      <c r="C44">
        <f>VLOOKUP($A44,[1]Fieldbook!$A$2:$CC$6000,16,0)</f>
        <v>11</v>
      </c>
      <c r="D44">
        <v>2</v>
      </c>
      <c r="E44" t="str">
        <f>VLOOKUP(A44,[1]Fieldbook!$A$2:$CC$6000,9,0)</f>
        <v>Short</v>
      </c>
    </row>
    <row r="45" spans="1:5" x14ac:dyDescent="0.35">
      <c r="A45">
        <v>18585026</v>
      </c>
      <c r="B45">
        <f>VLOOKUP($A45,[1]Fieldbook!$A$2:$CC$6000,15,0)</f>
        <v>7</v>
      </c>
      <c r="C45">
        <f>VLOOKUP($A45,[1]Fieldbook!$A$2:$CC$6000,16,0)</f>
        <v>12</v>
      </c>
      <c r="D45">
        <v>1</v>
      </c>
      <c r="E45" t="str">
        <f>VLOOKUP(A45,[1]Fieldbook!$A$2:$CC$6000,9,0)</f>
        <v>Short</v>
      </c>
    </row>
    <row r="46" spans="1:5" x14ac:dyDescent="0.35">
      <c r="A46">
        <v>18585031</v>
      </c>
      <c r="B46">
        <f>VLOOKUP($A46,[1]Fieldbook!$A$2:$CC$6000,15,0)</f>
        <v>7</v>
      </c>
      <c r="C46">
        <f>VLOOKUP($A46,[1]Fieldbook!$A$2:$CC$6000,16,0)</f>
        <v>13</v>
      </c>
      <c r="D46">
        <v>2</v>
      </c>
      <c r="E46" t="str">
        <f>VLOOKUP(A46,[1]Fieldbook!$A$2:$CC$6000,9,0)</f>
        <v>Short</v>
      </c>
    </row>
    <row r="47" spans="1:5" x14ac:dyDescent="0.35">
      <c r="A47">
        <v>18585025</v>
      </c>
      <c r="B47">
        <f>VLOOKUP($A47,[1]Fieldbook!$A$2:$CC$6000,15,0)</f>
        <v>7</v>
      </c>
      <c r="C47">
        <f>VLOOKUP($A47,[1]Fieldbook!$A$2:$CC$6000,16,0)</f>
        <v>14</v>
      </c>
      <c r="D47">
        <v>1</v>
      </c>
      <c r="E47" t="str">
        <f>VLOOKUP(A47,[1]Fieldbook!$A$2:$CC$6000,9,0)</f>
        <v>Short</v>
      </c>
    </row>
    <row r="48" spans="1:5" x14ac:dyDescent="0.35">
      <c r="A48">
        <v>18585030</v>
      </c>
      <c r="B48">
        <f>VLOOKUP($A48,[1]Fieldbook!$A$2:$CC$6000,15,0)</f>
        <v>7</v>
      </c>
      <c r="C48">
        <f>VLOOKUP($A48,[1]Fieldbook!$A$2:$CC$6000,16,0)</f>
        <v>15</v>
      </c>
      <c r="D48">
        <v>2</v>
      </c>
      <c r="E48" t="str">
        <f>VLOOKUP(A48,[1]Fieldbook!$A$2:$CC$6000,9,0)</f>
        <v>Short</v>
      </c>
    </row>
    <row r="49" spans="1:5" x14ac:dyDescent="0.35">
      <c r="A49">
        <v>18585024</v>
      </c>
      <c r="B49">
        <f>VLOOKUP($A49,[1]Fieldbook!$A$2:$CC$6000,15,0)</f>
        <v>7</v>
      </c>
      <c r="C49">
        <f>VLOOKUP($A49,[1]Fieldbook!$A$2:$CC$6000,16,0)</f>
        <v>16</v>
      </c>
      <c r="D49">
        <v>1</v>
      </c>
      <c r="E49" t="str">
        <f>VLOOKUP(A49,[1]Fieldbook!$A$2:$CC$6000,9,0)</f>
        <v>Short</v>
      </c>
    </row>
  </sheetData>
  <pageMargins left="0.7" right="0.7" top="0.75" bottom="0.75" header="0.3" footer="0.3"/>
  <headerFooter>
    <oddFooter>&amp;R_x000D_&amp;1#&amp;"Calibri"&amp;22&amp;KFF8939 RESTRICTED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Bayer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Kosola</dc:creator>
  <cp:lastModifiedBy>Kevin Kosola</cp:lastModifiedBy>
  <dcterms:created xsi:type="dcterms:W3CDTF">2024-11-21T19:17:46Z</dcterms:created>
  <dcterms:modified xsi:type="dcterms:W3CDTF">2024-11-21T19:18:31Z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c76c141-ac86-40e5-abf2-c6f60e474cee_Enabled">
    <vt:lpwstr>true</vt:lpwstr>
  </property>
  <property fmtid="{D5CDD505-2E9C-101B-9397-08002B2CF9AE}" pid="3" name="MSIP_Label_2c76c141-ac86-40e5-abf2-c6f60e474cee_SetDate">
    <vt:lpwstr>2024-11-21T19:18:30Z</vt:lpwstr>
  </property>
  <property fmtid="{D5CDD505-2E9C-101B-9397-08002B2CF9AE}" pid="4" name="MSIP_Label_2c76c141-ac86-40e5-abf2-c6f60e474cee_Method">
    <vt:lpwstr>Standard</vt:lpwstr>
  </property>
  <property fmtid="{D5CDD505-2E9C-101B-9397-08002B2CF9AE}" pid="5" name="MSIP_Label_2c76c141-ac86-40e5-abf2-c6f60e474cee_Name">
    <vt:lpwstr>2c76c141-ac86-40e5-abf2-c6f60e474cee</vt:lpwstr>
  </property>
  <property fmtid="{D5CDD505-2E9C-101B-9397-08002B2CF9AE}" pid="6" name="MSIP_Label_2c76c141-ac86-40e5-abf2-c6f60e474cee_SiteId">
    <vt:lpwstr>fcb2b37b-5da0-466b-9b83-0014b67a7c78</vt:lpwstr>
  </property>
  <property fmtid="{D5CDD505-2E9C-101B-9397-08002B2CF9AE}" pid="7" name="MSIP_Label_2c76c141-ac86-40e5-abf2-c6f60e474cee_ActionId">
    <vt:lpwstr>b78a0be4-cfef-4233-8d5f-c4d03dcb3fca</vt:lpwstr>
  </property>
  <property fmtid="{D5CDD505-2E9C-101B-9397-08002B2CF9AE}" pid="8" name="MSIP_Label_2c76c141-ac86-40e5-abf2-c6f60e474cee_ContentBits">
    <vt:lpwstr>2</vt:lpwstr>
  </property>
</Properties>
</file>